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131929D0-A742-45EC-98C9-E23716B7C035}" xr6:coauthVersionLast="47" xr6:coauthVersionMax="47" xr10:uidLastSave="{00000000-0000-0000-0000-000000000000}"/>
  <bookViews>
    <workbookView xWindow="-108" yWindow="-108" windowWidth="23256" windowHeight="12456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<sst xmlns="http://schemas.openxmlformats.org/spreadsheetml/2006/main" count="1328" uniqueCount="827">
  <si>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</si>
  <si>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</si>
  <si>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</si>
  <si>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</si>
  <si>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</si>
  <si>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</si>
  <si>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</si>
  <si>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</si>
  <si>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</si>
  <si>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</si>
  <si>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</si>
  <si>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</si>
  <si>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</si>
  <si>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</si>
  <si>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</si>
  <si>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</si>
  <si>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</si>
  <si>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</si>
  <si>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</si>
  <si>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</si>
  <si>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</si>
  <si>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</si>
  <si>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</si>
  <si>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</si>
  <si>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</si>
  <si>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</si>
  <si>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</si>
  <si>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</si>
  <si>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</si>
  <si>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</si>
  <si>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</si>
  <si>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</si>
  <si>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</si>
  <si>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</si>
  <si>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</si>
  <si>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</si>
  <si>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</si>
  <si>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</si>
  <si>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</si>
  <si>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</si>
  <si>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</si>
  <si>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</si>
  <si>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</si>
  <si>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</si>
  <si>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</si>
  <si>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</si>
  <si>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</si>
  <si>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</si>
  <si>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</si>
  <si>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</si>
  <si>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</si>
  <si>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</si>
  <si>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</si>
  <si>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</si>
  <si>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</si>
  <si>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</si>
  <si>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</si>
  <si>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</si>
  <si>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</si>
  <si>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</si>
  <si>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</si>
  <si>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</si>
  <si>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</si>
  <si>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</si>
  <si>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</si>
  <si>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</si>
  <si>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</si>
  <si>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</si>
  <si>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</si>
  <si>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</si>
  <si>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</si>
  <si>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</si>
  <si>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</si>
  <si>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</si>
  <si>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</si>
  <si>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</si>
  <si>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</si>
  <si>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</si>
  <si>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</si>
  <si>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</si>
  <si>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</si>
  <si>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</si>
  <si>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</si>
  <si>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</si>
  <si>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</si>
  <si>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</si>
  <si>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</si>
  <si>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</si>
  <si>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</si>
  <si>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</si>
  <si>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</si>
  <si>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</si>
  <si>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</si>
  <si>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</si>
  <si>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</si>
  <si>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</si>
  <si>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</si>
  <si>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</si>
  <si>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</si>
  <si>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</si>
  <si>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</si>
  <si>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</si>
  <si>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</si>
  <si>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</si>
  <si>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</si>
  <si>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</si>
  <si>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</si>
  <si>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</si>
  <si>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</si>
  <si>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</si>
  <si>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</si>
  <si>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</si>
  <si>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</si>
  <si>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</si>
  <si>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</si>
  <si>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</si>
  <si>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</si>
  <si>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</si>
  <si>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</si>
  <si>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</si>
  <si>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</si>
  <si>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</si>
  <si>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</si>
  <si>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</si>
  <si>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</si>
  <si>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</si>
  <si>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</si>
  <si>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</si>
  <si>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</si>
  <si>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</si>
  <si>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</si>
  <si>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</si>
  <si>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</si>
  <si>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</si>
  <si>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</si>
  <si>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</si>
  <si>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</si>
  <si>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</si>
  <si>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</si>
  <si>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</si>
  <si>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</si>
  <si>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</si>
  <si>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</si>
  <si>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</si>
  <si>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</si>
  <si>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</si>
  <si>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</si>
  <si>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</si>
  <si>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</si>
  <si>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</si>
  <si>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</si>
  <si>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</si>
  <si>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</si>
  <si>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</si>
  <si>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</si>
  <si>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</si>
  <si>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</si>
  <si>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</si>
  <si>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</si>
  <si>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</si>
  <si>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</si>
  <si>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</si>
  <si>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</si>
  <si>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</si>
  <si>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</si>
  <si>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</si>
  <si>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</si>
  <si>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</si>
  <si>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</si>
  <si>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</si>
  <si>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</si>
  <si>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</si>
  <si>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</si>
  <si>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</si>
  <si>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</si>
  <si>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</si>
  <si>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</si>
  <si>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</si>
  <si>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</si>
  <si>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</si>
  <si>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</si>
  <si>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</si>
  <si>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</si>
  <si>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</si>
  <si>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</si>
  <si>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</si>
  <si>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</si>
  <si>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</si>
  <si>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</si>
  <si>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</si>
  <si>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</si>
  <si>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</si>
  <si>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</si>
  <si>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</si>
  <si>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</si>
  <si>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</si>
  <si>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</si>
  <si>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</si>
  <si>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</si>
  <si>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</si>
  <si>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</si>
  <si>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</si>
  <si>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</si>
  <si>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</si>
  <si>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</si>
  <si>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</si>
  <si>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</si>
  <si>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</si>
  <si>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</si>
  <si>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</si>
  <si>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</si>
  <si>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</si>
  <si>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</si>
  <si>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</si>
  <si>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</si>
  <si>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</si>
  <si>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</si>
  <si>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</si>
  <si>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</si>
  <si>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</si>
  <si>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</si>
  <si>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</si>
  <si>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</si>
  <si>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</si>
  <si>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</si>
  <si>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</si>
  <si>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</si>
  <si>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</si>
  <si>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</si>
  <si>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</si>
  <si>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</si>
  <si>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</si>
  <si>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</si>
  <si>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</si>
  <si>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</si>
  <si>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</si>
  <si>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</si>
  <si>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</si>
  <si>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</si>
  <si>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</si>
  <si>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</si>
  <si>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</si>
  <si>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</si>
  <si>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</si>
  <si>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</si>
  <si>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</si>
  <si>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</si>
  <si>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</si>
  <si>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</si>
  <si>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</si>
  <si>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</si>
  <si>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</si>
  <si>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</si>
  <si>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</si>
  <si>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</si>
  <si>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</si>
  <si>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</si>
  <si>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</si>
  <si>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</si>
  <si>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</si>
  <si>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</si>
  <si>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</si>
  <si>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</si>
  <si>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</si>
  <si>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</si>
  <si>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</si>
  <si>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</si>
  <si>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</si>
  <si>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</si>
  <si>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</si>
  <si>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</si>
  <si>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</si>
  <si>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</si>
  <si>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</si>
  <si>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</si>
  <si>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</si>
  <si>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</si>
  <si>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</si>
  <si>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</si>
  <si>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</si>
  <si>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</si>
  <si>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</si>
  <si>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</si>
  <si>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</si>
  <si>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</si>
  <si>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</si>
  <si>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</si>
  <si>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</si>
  <si>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</si>
  <si>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</si>
  <si>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</si>
  <si>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</si>
  <si>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</si>
  <si>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</si>
  <si>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</si>
  <si>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</si>
  <si>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</si>
  <si>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</si>
  <si>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</si>
  <si>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</si>
  <si>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</si>
  <si>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</si>
  <si>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</si>
  <si>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</si>
  <si>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</si>
  <si>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</si>
  <si>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</si>
  <si>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</si>
  <si>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</si>
  <si>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</si>
  <si>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</si>
  <si>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</si>
  <si>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</si>
  <si>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</si>
  <si>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</si>
  <si>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</si>
  <si>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</si>
  <si>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</si>
  <si>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</si>
  <si>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</si>
  <si>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</si>
  <si>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</si>
  <si>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</si>
  <si>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</si>
  <si>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</si>
  <si>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</si>
  <si>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</si>
  <si>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</si>
  <si>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</si>
  <si>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</si>
  <si>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</si>
  <si>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</si>
  <si>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</si>
  <si>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</si>
  <si>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</si>
  <si>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</si>
  <si>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</si>
  <si>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</si>
  <si>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</si>
  <si>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</si>
  <si>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</si>
  <si>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</si>
  <si>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</si>
  <si>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</si>
  <si>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</si>
  <si>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</si>
  <si>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</si>
  <si>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</si>
  <si>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</si>
  <si>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</si>
  <si>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</si>
  <si>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</si>
  <si>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</si>
  <si>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</si>
  <si>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</si>
  <si>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</si>
  <si>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</si>
  <si>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</si>
  <si>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</si>
  <si>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</si>
  <si>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</si>
  <si>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</si>
  <si>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</si>
  <si>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</si>
  <si>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</si>
  <si>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</si>
  <si>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</si>
  <si>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</si>
  <si>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</si>
  <si>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</si>
  <si>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</si>
  <si>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</si>
  <si>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</si>
  <si>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</si>
  <si>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</si>
  <si>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</si>
  <si>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</si>
  <si>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</si>
  <si>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</si>
  <si>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</si>
  <si>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</si>
  <si>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</si>
  <si>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</si>
  <si>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</si>
  <si>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</si>
  <si>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</si>
  <si>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</si>
  <si>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</si>
  <si>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</si>
  <si>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</si>
  <si>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</si>
  <si>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</si>
  <si>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</si>
  <si>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</si>
  <si>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</si>
  <si>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</si>
  <si>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</si>
  <si>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</si>
  <si>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</si>
  <si>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</si>
  <si>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</si>
  <si>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</si>
  <si>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</si>
  <si>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</si>
  <si>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</si>
  <si>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</si>
  <si>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</si>
  <si>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</si>
  <si>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</si>
  <si>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</si>
  <si>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</si>
  <si>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</si>
  <si>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</si>
  <si>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</si>
  <si>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</si>
  <si>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</si>
  <si>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</si>
  <si>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</si>
  <si>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</si>
  <si>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</si>
  <si>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</si>
  <si>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</si>
  <si>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</si>
  <si>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</si>
  <si>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</si>
  <si>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</si>
  <si>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</si>
  <si>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</si>
  <si>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</si>
  <si>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</si>
  <si>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</si>
  <si>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</si>
  <si>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</si>
  <si>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</si>
  <si>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</si>
  <si>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</si>
  <si>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</si>
  <si>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</si>
  <si>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</si>
  <si>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</si>
  <si>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</si>
  <si>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</si>
  <si>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</si>
  <si>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</si>
  <si>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</si>
  <si>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</si>
  <si>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</si>
  <si>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</si>
  <si>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</si>
  <si>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</si>
  <si>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</si>
  <si>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</si>
  <si>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</si>
  <si>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</si>
  <si>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</si>
  <si>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</si>
  <si>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</si>
  <si>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</si>
  <si>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</si>
  <si>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</si>
  <si>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</si>
  <si>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</si>
  <si>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</si>
  <si>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</si>
  <si>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</si>
  <si>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</si>
  <si>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</si>
  <si>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</si>
  <si>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</si>
  <si>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</si>
  <si>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</si>
  <si>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</si>
  <si>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</si>
  <si>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</si>
  <si>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</si>
  <si>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</si>
  <si>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</si>
  <si>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</si>
  <si>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</si>
  <si>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</si>
  <si>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</si>
  <si>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</si>
  <si>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</si>
  <si>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</si>
  <si>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</si>
  <si>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</si>
  <si>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</si>
  <si>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</si>
  <si>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</si>
  <si>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</si>
  <si>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</si>
  <si>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</si>
  <si>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</si>
  <si>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</si>
  <si>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</si>
  <si>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</si>
  <si>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</si>
  <si>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</si>
  <si>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</si>
  <si>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</si>
  <si>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</si>
  <si>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</si>
  <si>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</si>
  <si>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</si>
  <si>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</si>
  <si>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</si>
  <si>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</si>
  <si>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</si>
  <si>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</si>
  <si>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</si>
  <si>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</si>
  <si>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</si>
  <si>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</si>
  <si>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</si>
  <si>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</si>
  <si>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</si>
  <si>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</si>
  <si>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</si>
  <si>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</si>
  <si>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</si>
  <si>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</si>
  <si>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</si>
  <si>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</si>
  <si>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</si>
  <si>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</si>
  <si>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</si>
  <si>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</si>
  <si>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</si>
  <si>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</si>
  <si>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</si>
  <si>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</si>
  <si>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</si>
  <si>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</si>
  <si>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</si>
  <si>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</si>
  <si>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</si>
  <si>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</si>
  <si>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</si>
  <si>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</si>
  <si>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</si>
  <si>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</si>
  <si>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</si>
  <si>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</si>
  <si>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</si>
  <si>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</si>
  <si>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</si>
  <si>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</si>
  <si>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</si>
  <si>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</si>
  <si>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</si>
  <si>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</si>
  <si>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</si>
  <si>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</si>
  <si>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</si>
  <si>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</si>
  <si>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</si>
  <si>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</si>
  <si>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</si>
  <si>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</si>
  <si>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</si>
  <si>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</si>
  <si>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</si>
  <si>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</si>
  <si>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</si>
  <si>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</si>
  <si>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</si>
  <si>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</si>
  <si>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</si>
  <si>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</si>
  <si>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</si>
  <si>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</si>
  <si>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</si>
  <si>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</si>
  <si>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</si>
  <si>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</si>
  <si>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</si>
  <si>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</si>
  <si>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</si>
  <si>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</si>
  <si>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</si>
  <si>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</si>
  <si>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</si>
  <si>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</si>
  <si>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</si>
  <si>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</si>
  <si>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</si>
  <si>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</si>
  <si>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</si>
  <si>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</si>
  <si>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</si>
  <si>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</si>
  <si>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</si>
  <si>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</si>
  <si>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</si>
  <si>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</si>
  <si>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</si>
  <si>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</si>
  <si>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</si>
  <si>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</si>
  <si>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</si>
  <si>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</si>
  <si>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</si>
  <si>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</si>
  <si>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</si>
  <si>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</si>
  <si>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</si>
  <si>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</si>
  <si>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</si>
  <si>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</si>
  <si>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</si>
  <si>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</si>
  <si>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</si>
  <si>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</si>
  <si>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</si>
  <si>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</si>
  <si>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</si>
  <si>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</si>
  <si>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</si>
  <si>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</si>
  <si>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</si>
  <si>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</si>
  <si>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</si>
  <si>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</si>
  <si>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</si>
  <si>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</si>
  <si>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</si>
  <si>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</si>
  <si>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</si>
  <si>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</si>
  <si>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</si>
  <si>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</si>
  <si>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</si>
  <si>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</si>
  <si>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</si>
  <si>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</si>
  <si>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</si>
  <si>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</si>
  <si>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</si>
  <si>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</si>
  <si>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</si>
  <si>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</si>
  <si>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</si>
  <si>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</si>
  <si>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</si>
  <si>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</si>
  <si>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</si>
  <si>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</si>
  <si>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</si>
  <si>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</si>
  <si>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</si>
  <si>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</si>
  <si>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</si>
  <si>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</si>
  <si>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</si>
  <si>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</si>
  <si>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</si>
  <si>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</si>
  <si>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</si>
  <si>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</si>
  <si>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</si>
  <si>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</si>
  <si>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</si>
  <si>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</si>
  <si>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</si>
  <si>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</si>
  <si>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</si>
  <si>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</si>
  <si>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</si>
  <si>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</si>
  <si>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</si>
  <si>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</si>
  <si>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</si>
  <si>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</si>
  <si>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</si>
  <si>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</si>
  <si>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</si>
  <si>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</si>
  <si>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</si>
  <si>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</si>
  <si>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</si>
  <si>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</si>
  <si>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</si>
  <si>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</si>
  <si>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</si>
  <si>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</si>
  <si>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</si>
  <si>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</si>
  <si>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</si>
  <si>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</si>
  <si>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</si>
  <si>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</si>
  <si>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</si>
  <si>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</si>
  <si>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</si>
  <si>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</si>
  <si>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</si>
  <si>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</si>
  <si>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</si>
  <si>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</si>
  <si>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</si>
  <si>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</si>
  <si>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</si>
  <si>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</si>
  <si>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</si>
  <si>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</si>
  <si>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</si>
  <si>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</si>
  <si>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</si>
  <si>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</si>
  <si>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</si>
  <si>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</si>
  <si>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</si>
  <si>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</si>
  <si>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</si>
  <si>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</si>
  <si>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</si>
  <si>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</si>
  <si>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</si>
  <si>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</si>
  <si>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</si>
  <si>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</si>
  <si>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</si>
  <si>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</si>
  <si>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</si>
  <si>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</si>
  <si>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</si>
  <si>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</si>
  <si>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</si>
  <si>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</si>
  <si>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</si>
  <si>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</si>
  <si>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</si>
  <si>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</si>
  <si>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</si>
  <si>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</si>
  <si>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</si>
  <si>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</si>
  <si>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</si>
  <si>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</si>
  <si>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</si>
  <si>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</si>
  <si>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</si>
  <si>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</si>
  <si>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</si>
  <si>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</si>
  <si>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</si>
  <si>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</si>
  <si>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</si>
  <si>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</si>
  <si>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</si>
  <si>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</si>
  <si>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</si>
  <si>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</si>
  <si>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</si>
  <si>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</si>
  <si>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</si>
  <si>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</si>
  <si>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</si>
  <si>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</si>
  <si>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</si>
  <si>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</si>
  <si>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</si>
  <si>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</si>
  <si>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</si>
  <si>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</si>
  <si>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</si>
  <si>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</si>
  <si>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</si>
  <si>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</si>
  <si>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</si>
  <si>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</si>
  <si>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</si>
  <si>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</si>
  <si>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</si>
  <si>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</si>
  <si>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</si>
  <si>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</si>
  <si>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</si>
  <si>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</si>
  <si>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</si>
  <si>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</si>
  <si>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</si>
  <si>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</si>
  <si>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</si>
  <si>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</si>
  <si>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</si>
  <si>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</si>
  <si>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</si>
  <si>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</si>
  <si>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</si>
  <si>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</si>
  <si>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</si>
  <si>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</si>
  <si>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</si>
  <si>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</si>
  <si>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</si>
  <si>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</si>
  <si>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</si>
  <si>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</si>
  <si>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</si>
  <si>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</si>
  <si>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</si>
  <si>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</si>
  <si>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</si>
  <si>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</si>
  <si>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เจษฎา คำสีทา</t>
  </si>
  <si>
    <t>20น.</t>
  </si>
  <si>
    <t>ซ่อมชั่วคราว</t>
  </si>
  <si>
    <t>ยิงสกรูซ่อม</t>
  </si>
  <si>
    <t>Solventless</t>
  </si>
  <si>
    <t>ติดตั้ง Alam เสียงเพิ่ม เช่น เสียงเมื่อจะเดินเครื่อง, เสียงเมื่อประตูเปิดอยู่</t>
  </si>
  <si>
    <t>คาน แสวงทรัพย์</t>
  </si>
  <si>
    <t>Dry laminate1</t>
  </si>
  <si>
    <t>สายพานมีเสียงดังZONE1/2/3</t>
  </si>
  <si>
    <t>ลูกยางตัดบ่า</t>
  </si>
  <si>
    <t>นำลูกยางไปตัดบ่าจาก size 923 mm. เป็น 750 mm.</t>
  </si>
  <si>
    <t>Nip roll ชำรุดหล่อใหม่</t>
  </si>
  <si>
    <t>inter lock gard เปิดไม่ออก</t>
  </si>
  <si>
    <t>เปลี่ยนสายพานใหม่</t>
  </si>
  <si>
    <t>สายพาน 1160,1216</t>
  </si>
  <si>
    <t>4 เส้น</t>
  </si>
  <si>
    <t>ยึดน็อตใหม่</t>
  </si>
  <si>
    <t>Dry laminate2</t>
  </si>
  <si>
    <t>ใบมีดหัวกลางตัดไม่ขาด</t>
  </si>
  <si>
    <t>เอกสินธุ์ สัตย์รักษา</t>
  </si>
  <si>
    <t>รถวางถังเศษผ้า Solventless</t>
  </si>
  <si>
    <t>เจาะหลุมสำหรับวางถัง กันตกจากรถ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</si>
</sst>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7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14" fontId="4" fillId="8" borderId="6" xfId="0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9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1051560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915321" y="323850"/>
          <a:ext cx="1190629" cy="395288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584950" y="138111"/>
          <a:ext cx="888866" cy="623889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41729" y="83347"/>
          <a:ext cx="6353165" cy="783429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402771" y="500743"/>
          <a:ext cx="2383971" cy="500743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045870" y="3652841"/>
          <a:ext cx="1280160" cy="416716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043491" y="4307689"/>
          <a:ext cx="1280160" cy="447674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650840" y="4950612"/>
          <a:ext cx="1280160" cy="447675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811226" y="7670030"/>
          <a:ext cx="1280160" cy="447675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830990" y="4845275"/>
          <a:ext cx="1359693" cy="666750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719897" y="6191243"/>
          <a:ext cx="1280160" cy="4476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039199" y="7631932"/>
          <a:ext cx="1280160" cy="447675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999431" y="8796373"/>
          <a:ext cx="1359693" cy="666750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8175" y="333375"/>
          <a:ext cx="1620583" cy="307340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zoomScale="80" zoomScaleNormal="80" workbookViewId="0">
      <pane ySplit="10" topLeftCell="A19" activePane="bottomLeft" state="frozen"/>
      <selection pane="bottomLeft" activeCell="H81" sqref="H81"/>
    </sheetView>
  </sheetViews>
  <sheetFormatPr defaultColWidth="9" defaultRowHeight="18" customHeight="1"/>
  <cols>
    <col min="1" max="1" width="0.44140625" style="1" customWidth="1"/>
    <col min="2" max="2" width="2.44140625" style="1" customWidth="1"/>
    <col min="3" max="3" width="0.44140625" style="1" customWidth="1"/>
    <col min="4" max="4" width="8.44140625" style="9" customWidth="1"/>
    <col min="5" max="5" width="12.44140625" style="10" bestFit="1" customWidth="1"/>
    <col min="6" max="6" width="14.44140625" style="1" bestFit="1" customWidth="1"/>
    <col min="7" max="7" width="15.44140625" style="1" bestFit="1" customWidth="1"/>
    <col min="8" max="8" width="16.44140625" style="32" bestFit="1" customWidth="1"/>
    <col min="9" max="9" width="12.44140625" style="1" customWidth="1"/>
    <col min="10" max="10" width="12.44140625" style="145" customWidth="1"/>
    <col min="11" max="11" width="13.44140625" style="1" customWidth="1"/>
    <col min="12" max="12" width="15.44140625" style="1" bestFit="1" customWidth="1"/>
    <col min="13" max="13" width="20" style="1" bestFit="1" customWidth="1"/>
    <col min="14" max="14" width="18.44140625" style="32" customWidth="1"/>
    <col min="15" max="15" width="51.44140625" style="32" bestFit="1" customWidth="1"/>
    <col min="16" max="16" width="21.44140625" style="128" bestFit="1" customWidth="1"/>
    <col min="17" max="17" width="30.44140625" style="128" customWidth="1"/>
    <col min="18" max="18" width="18.44140625" style="129" bestFit="1" customWidth="1"/>
    <col min="19" max="19" width="24.44140625" style="130" bestFit="1" customWidth="1"/>
    <col min="20" max="20" width="19.44140625" style="130" bestFit="1" customWidth="1"/>
    <col min="21" max="21" width="10.44140625" style="218" bestFit="1" customWidth="1"/>
    <col min="22" max="22" width="24.44140625" style="130" bestFit="1" customWidth="1"/>
    <col min="23" max="23" width="18" style="130" bestFit="1" customWidth="1"/>
    <col min="24" max="24" width="11.44140625" style="130" customWidth="1"/>
    <col min="25" max="25" width="13.44140625" style="128" customWidth="1"/>
    <col min="26" max="26" width="10.44140625" style="134" bestFit="1" customWidth="1"/>
    <col min="27" max="27" width="10.44140625" style="136" bestFit="1" customWidth="1"/>
    <col min="28" max="28" width="11.44140625" style="134" bestFit="1" customWidth="1"/>
    <col min="29" max="29" width="11" style="136" customWidth="1"/>
    <col min="30" max="30" width="10.44140625" style="155" bestFit="1" customWidth="1"/>
    <col min="31" max="31" width="9.44140625" style="135" bestFit="1" customWidth="1"/>
    <col min="32" max="32" width="18" style="32" bestFit="1" customWidth="1"/>
    <col min="33" max="33" width="21.44140625" style="32" bestFit="1" customWidth="1"/>
    <col min="34" max="34" width="20.44140625" style="1" customWidth="1"/>
    <col min="35" max="35" width="1.44140625" style="1" customWidth="1"/>
    <col min="36" max="16384" width="9" style="42"/>
  </cols>
  <sheetData>
    <row r="1" spans="1:35" ht="10.199999999999999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2" customHeight="1">
      <c r="D2" s="119" t="s">
        <v>149</v>
      </c>
      <c r="E2" s="46"/>
      <c r="F2" s="5"/>
      <c r="G2" s="46"/>
      <c r="H2" s="46"/>
      <c r="I2" s="255">
        <v>9</v>
      </c>
      <c r="J2" s="256" t="str">
        <f ca="1">IFERROR(VLOOKUP(I2,JOB_NO,2,0),0)</f>
        <v>EN-26-009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2" customHeight="1">
      <c r="D3" s="46" t="s">
        <v>284</v>
      </c>
      <c r="E3" s="46"/>
      <c r="F3" s="5"/>
      <c r="G3" s="46"/>
      <c r="H3" s="46"/>
      <c r="I3" s="255"/>
      <c r="J3" s="256"/>
      <c r="K3" s="29"/>
      <c r="L3" s="29"/>
      <c r="M3" s="29"/>
      <c r="N3" s="33"/>
      <c r="O3" s="29"/>
      <c r="P3" s="51"/>
      <c r="Q3" s="29"/>
      <c r="R3" s="33" t="s">
        <v>377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2" customHeight="1">
      <c r="A4" s="25"/>
      <c r="B4" s="250" t="s">
        <v>368</v>
      </c>
      <c r="C4" s="25"/>
      <c r="D4" s="254" t="s">
        <v>1</v>
      </c>
      <c r="E4" s="254"/>
      <c r="F4" s="41" t="s">
        <v>382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380</v>
      </c>
      <c r="AI4" s="27"/>
    </row>
    <row r="5" spans="1:35" ht="4.95" customHeight="1">
      <c r="B5" s="250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2" customHeight="1">
      <c r="B6" s="250"/>
      <c r="D6" s="252" t="s">
        <v>381</v>
      </c>
      <c r="E6" s="253"/>
      <c r="F6" s="253"/>
      <c r="G6" s="253"/>
      <c r="H6" s="253"/>
      <c r="I6" s="251" t="s">
        <v>283</v>
      </c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13" t="s">
        <v>3</v>
      </c>
      <c r="AG6" s="199">
        <f ca="1">TODAY()</f>
        <v>46252</v>
      </c>
      <c r="AH6" s="40">
        <f ca="1">NOW()</f>
        <v>46252.599908217591</v>
      </c>
    </row>
    <row r="7" spans="1:35" ht="4.2" customHeight="1">
      <c r="B7" s="250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0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243</v>
      </c>
      <c r="Q8" s="49" t="s">
        <v>244</v>
      </c>
      <c r="R8" s="24" t="s">
        <v>242</v>
      </c>
      <c r="S8" s="24" t="s">
        <v>264</v>
      </c>
      <c r="T8" s="24" t="s">
        <v>255</v>
      </c>
      <c r="U8" s="24" t="s">
        <v>254</v>
      </c>
      <c r="V8" s="24" t="s">
        <v>245</v>
      </c>
      <c r="W8" s="24" t="s">
        <v>266</v>
      </c>
      <c r="X8" s="24" t="s">
        <v>260</v>
      </c>
      <c r="Y8" s="24" t="s">
        <v>246</v>
      </c>
      <c r="Z8" s="23" t="s">
        <v>247</v>
      </c>
      <c r="AA8" s="23" t="s">
        <v>248</v>
      </c>
      <c r="AB8" s="23" t="s">
        <v>249</v>
      </c>
      <c r="AC8" s="23" t="s">
        <v>250</v>
      </c>
      <c r="AD8" s="23" t="s">
        <v>251</v>
      </c>
      <c r="AE8" s="23" t="s">
        <v>252</v>
      </c>
      <c r="AF8" s="23" t="s">
        <v>253</v>
      </c>
      <c r="AG8" s="23" t="s">
        <v>8</v>
      </c>
      <c r="AH8" s="34" t="s">
        <v>4</v>
      </c>
      <c r="AI8" s="5"/>
    </row>
    <row r="9" spans="1:35" ht="1.95" customHeight="1">
      <c r="B9" s="250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0"/>
      <c r="C10" s="8"/>
      <c r="D10" s="39" t="s">
        <v>5</v>
      </c>
      <c r="E10" s="17" t="s">
        <v>11</v>
      </c>
      <c r="F10" s="20" t="s">
        <v>281</v>
      </c>
      <c r="G10" s="18" t="s">
        <v>13</v>
      </c>
      <c r="H10" s="19" t="s">
        <v>269</v>
      </c>
      <c r="I10" s="18" t="s">
        <v>379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169</v>
      </c>
      <c r="Q10" s="50" t="s">
        <v>199</v>
      </c>
      <c r="R10" s="17" t="s">
        <v>241</v>
      </c>
      <c r="S10" s="17" t="s">
        <v>200</v>
      </c>
      <c r="T10" s="17" t="s">
        <v>282</v>
      </c>
      <c r="U10" s="17" t="s">
        <v>46</v>
      </c>
      <c r="V10" s="17" t="s">
        <v>232</v>
      </c>
      <c r="W10" s="17" t="s">
        <v>265</v>
      </c>
      <c r="X10" s="17" t="s">
        <v>205</v>
      </c>
      <c r="Y10" s="17" t="s">
        <v>207</v>
      </c>
      <c r="Z10" s="20" t="s">
        <v>211</v>
      </c>
      <c r="AA10" s="20" t="s">
        <v>212</v>
      </c>
      <c r="AB10" s="20" t="s">
        <v>213</v>
      </c>
      <c r="AC10" s="20" t="s">
        <v>214</v>
      </c>
      <c r="AD10" s="20" t="s">
        <v>212</v>
      </c>
      <c r="AE10" s="20" t="s">
        <v>215</v>
      </c>
      <c r="AF10" s="23" t="s">
        <v>208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377</v>
      </c>
      <c r="D11" s="13">
        <v>1</v>
      </c>
      <c r="E11" s="13" t="s">
        <v>383</v>
      </c>
      <c r="F11" s="13" t="s">
        <v>155</v>
      </c>
      <c r="G11" s="117" t="s">
        <v>374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685</v>
      </c>
      <c r="P11" s="147" t="s">
        <v>176</v>
      </c>
      <c r="Q11" s="147" t="s">
        <v>363</v>
      </c>
      <c r="R11" s="148" t="s">
        <v>287</v>
      </c>
      <c r="S11" s="148" t="s">
        <v>686</v>
      </c>
      <c r="T11" s="148" t="s">
        <v>356</v>
      </c>
      <c r="U11" s="216" t="s">
        <v>290</v>
      </c>
      <c r="V11" s="148" t="s">
        <v>201</v>
      </c>
      <c r="W11" s="148" t="s">
        <v>287</v>
      </c>
      <c r="X11" s="149" t="s">
        <v>237</v>
      </c>
      <c r="Y11" s="148" t="s">
        <v>359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287</v>
      </c>
    </row>
    <row r="12" spans="1:35" ht="18" hidden="1" customHeight="1">
      <c r="D12" s="15">
        <v>2</v>
      </c>
      <c r="E12" s="13" t="s">
        <v>384</v>
      </c>
      <c r="F12" s="15" t="s">
        <v>153</v>
      </c>
      <c r="G12" s="118" t="s">
        <v>123</v>
      </c>
      <c r="H12" s="126" t="s">
        <v>166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287</v>
      </c>
      <c r="N12" s="127" t="s">
        <v>687</v>
      </c>
      <c r="O12" s="16" t="s">
        <v>688</v>
      </c>
      <c r="P12" s="147" t="s">
        <v>171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385</v>
      </c>
      <c r="F13" s="15" t="s">
        <v>153</v>
      </c>
      <c r="G13" s="118" t="s">
        <v>123</v>
      </c>
      <c r="H13" s="126" t="s">
        <v>166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287</v>
      </c>
      <c r="N13" s="127" t="s">
        <v>689</v>
      </c>
      <c r="O13" s="16" t="s">
        <v>688</v>
      </c>
      <c r="P13" s="147" t="s">
        <v>171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386</v>
      </c>
      <c r="F14" s="15" t="s">
        <v>153</v>
      </c>
      <c r="G14" s="118" t="s">
        <v>228</v>
      </c>
      <c r="H14" s="126" t="s">
        <v>376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287</v>
      </c>
      <c r="N14" s="127" t="s">
        <v>690</v>
      </c>
      <c r="O14" s="16" t="s">
        <v>691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387</v>
      </c>
      <c r="F15" s="15" t="s">
        <v>153</v>
      </c>
      <c r="G15" s="118" t="s">
        <v>228</v>
      </c>
      <c r="H15" s="126" t="s">
        <v>376</v>
      </c>
      <c r="I15" s="14">
        <v>46154</v>
      </c>
      <c r="J15" s="48">
        <v>0.46180555555555602</v>
      </c>
      <c r="K15" s="118" t="s">
        <v>362</v>
      </c>
      <c r="L15" s="118" t="s">
        <v>140</v>
      </c>
      <c r="M15" s="118" t="s">
        <v>287</v>
      </c>
      <c r="N15" s="127" t="s">
        <v>692</v>
      </c>
      <c r="O15" s="16" t="s">
        <v>693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388</v>
      </c>
      <c r="F16" s="15" t="s">
        <v>153</v>
      </c>
      <c r="G16" s="118" t="s">
        <v>228</v>
      </c>
      <c r="H16" s="126" t="s">
        <v>376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287</v>
      </c>
      <c r="N16" s="127" t="s">
        <v>694</v>
      </c>
      <c r="O16" s="16" t="s">
        <v>695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389</v>
      </c>
      <c r="F17" s="15" t="s">
        <v>153</v>
      </c>
      <c r="G17" s="118" t="s">
        <v>228</v>
      </c>
      <c r="H17" s="126" t="s">
        <v>376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287</v>
      </c>
      <c r="N17" s="127" t="s">
        <v>694</v>
      </c>
      <c r="O17" s="16" t="s">
        <v>695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390</v>
      </c>
      <c r="F18" s="15" t="s">
        <v>155</v>
      </c>
      <c r="G18" s="118" t="s">
        <v>100</v>
      </c>
      <c r="H18" s="126" t="s">
        <v>226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696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customHeight="1">
      <c r="D19" s="13">
        <v>9</v>
      </c>
      <c r="E19" s="13" t="s">
        <v>391</v>
      </c>
      <c r="F19" s="15" t="s">
        <v>155</v>
      </c>
      <c r="G19" s="118" t="s">
        <v>101</v>
      </c>
      <c r="H19" s="126" t="s">
        <v>365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697</v>
      </c>
      <c r="O19" s="16" t="s">
        <v>698</v>
      </c>
      <c r="P19" s="147" t="s">
        <v>171</v>
      </c>
      <c r="Q19" s="147" t="s">
        <v>808</v>
      </c>
      <c r="R19" s="147" t="s">
        <v>202</v>
      </c>
      <c r="S19" s="147"/>
      <c r="T19" s="147" t="s">
        <v>287</v>
      </c>
      <c r="U19" s="217" t="s">
        <v>287</v>
      </c>
      <c r="V19" s="147" t="s">
        <v>201</v>
      </c>
      <c r="W19" s="147"/>
      <c r="X19" s="154" t="s">
        <v>206</v>
      </c>
      <c r="Y19" s="147"/>
      <c r="Z19" s="150">
        <v>46179</v>
      </c>
      <c r="AA19" s="151">
        <v>0.41666666666666669</v>
      </c>
      <c r="AB19" s="150">
        <v>46179</v>
      </c>
      <c r="AC19" s="151">
        <v>0.43055555555555558</v>
      </c>
      <c r="AD19" s="152" t="s">
        <v>806</v>
      </c>
      <c r="AE19" s="153"/>
      <c r="AF19" s="148" t="s">
        <v>364</v>
      </c>
      <c r="AG19" s="147" t="s">
        <v>230</v>
      </c>
      <c r="AH19" s="147" t="s">
        <v>807</v>
      </c>
    </row>
    <row r="20" spans="4:34" ht="18" hidden="1" customHeight="1">
      <c r="D20" s="15">
        <v>10</v>
      </c>
      <c r="E20" s="13" t="s">
        <v>392</v>
      </c>
      <c r="F20" s="15" t="s">
        <v>153</v>
      </c>
      <c r="G20" s="118" t="s">
        <v>100</v>
      </c>
      <c r="H20" s="126" t="s">
        <v>226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699</v>
      </c>
      <c r="O20" s="127" t="s">
        <v>700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393</v>
      </c>
      <c r="F21" s="15" t="s">
        <v>153</v>
      </c>
      <c r="G21" s="118" t="s">
        <v>125</v>
      </c>
      <c r="H21" s="126" t="s">
        <v>161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701</v>
      </c>
      <c r="O21" s="16" t="s">
        <v>702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394</v>
      </c>
      <c r="F22" s="15" t="s">
        <v>153</v>
      </c>
      <c r="G22" s="118" t="s">
        <v>125</v>
      </c>
      <c r="H22" s="126" t="s">
        <v>161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703</v>
      </c>
      <c r="O22" s="16" t="s">
        <v>704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395</v>
      </c>
      <c r="F23" s="15" t="s">
        <v>153</v>
      </c>
      <c r="G23" s="118" t="s">
        <v>125</v>
      </c>
      <c r="H23" s="126" t="s">
        <v>161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705</v>
      </c>
      <c r="O23" s="16" t="s">
        <v>706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396</v>
      </c>
      <c r="F24" s="15" t="s">
        <v>153</v>
      </c>
      <c r="G24" s="118" t="s">
        <v>125</v>
      </c>
      <c r="H24" s="126" t="s">
        <v>707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708</v>
      </c>
      <c r="O24" s="16" t="s">
        <v>709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397</v>
      </c>
      <c r="F25" s="15" t="s">
        <v>155</v>
      </c>
      <c r="G25" s="118" t="s">
        <v>125</v>
      </c>
      <c r="H25" s="126" t="s">
        <v>707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710</v>
      </c>
      <c r="O25" s="16" t="s">
        <v>757</v>
      </c>
      <c r="P25" s="147" t="s">
        <v>171</v>
      </c>
      <c r="Q25" s="147" t="s">
        <v>783</v>
      </c>
      <c r="R25" s="147" t="s">
        <v>287</v>
      </c>
      <c r="S25" s="147"/>
      <c r="T25" s="147" t="s">
        <v>784</v>
      </c>
      <c r="U25" s="217" t="s">
        <v>785</v>
      </c>
      <c r="V25" s="147" t="s">
        <v>201</v>
      </c>
      <c r="W25" s="147"/>
      <c r="X25" s="154" t="s">
        <v>206</v>
      </c>
      <c r="Y25" s="147"/>
      <c r="Z25" s="150" t="s">
        <v>768</v>
      </c>
      <c r="AA25" s="151">
        <v>0.875</v>
      </c>
      <c r="AB25" s="150" t="s">
        <v>768</v>
      </c>
      <c r="AC25" s="151">
        <v>0.91666666666666663</v>
      </c>
      <c r="AD25" s="152"/>
      <c r="AE25" s="153"/>
      <c r="AF25" s="247" t="s">
        <v>707</v>
      </c>
      <c r="AG25" s="147" t="s">
        <v>163</v>
      </c>
      <c r="AH25" s="147"/>
    </row>
    <row r="26" spans="4:34" ht="18" hidden="1" customHeight="1">
      <c r="D26" s="15">
        <v>16</v>
      </c>
      <c r="E26" s="13" t="s">
        <v>398</v>
      </c>
      <c r="F26" s="15" t="s">
        <v>153</v>
      </c>
      <c r="G26" s="118" t="s">
        <v>124</v>
      </c>
      <c r="H26" s="126" t="s">
        <v>165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711</v>
      </c>
      <c r="O26" s="16" t="s">
        <v>712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399</v>
      </c>
      <c r="F27" s="15" t="s">
        <v>153</v>
      </c>
      <c r="G27" s="118" t="s">
        <v>139</v>
      </c>
      <c r="H27" s="126" t="s">
        <v>716</v>
      </c>
      <c r="I27" s="14">
        <v>46155</v>
      </c>
      <c r="J27" s="48" t="s">
        <v>715</v>
      </c>
      <c r="K27" s="118" t="s">
        <v>139</v>
      </c>
      <c r="L27" s="118" t="s">
        <v>141</v>
      </c>
      <c r="M27" s="118"/>
      <c r="N27" s="127" t="s">
        <v>713</v>
      </c>
      <c r="O27" s="16" t="s">
        <v>714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400</v>
      </c>
      <c r="F28" s="15" t="s">
        <v>153</v>
      </c>
      <c r="G28" s="118" t="s">
        <v>228</v>
      </c>
      <c r="H28" s="126" t="s">
        <v>285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717</v>
      </c>
      <c r="O28" s="16" t="s">
        <v>718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401</v>
      </c>
      <c r="F29" s="15" t="s">
        <v>156</v>
      </c>
      <c r="G29" s="118" t="s">
        <v>123</v>
      </c>
      <c r="H29" s="126" t="s">
        <v>166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719</v>
      </c>
      <c r="O29" s="16" t="s">
        <v>720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402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721</v>
      </c>
      <c r="P30" s="147"/>
      <c r="Q30" s="147" t="s">
        <v>722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403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721</v>
      </c>
      <c r="P31" s="147"/>
      <c r="Q31" s="147" t="s">
        <v>722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404</v>
      </c>
      <c r="F32" s="15" t="s">
        <v>155</v>
      </c>
      <c r="G32" s="118" t="s">
        <v>100</v>
      </c>
      <c r="H32" s="126" t="s">
        <v>226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723</v>
      </c>
      <c r="O32" s="127" t="s">
        <v>723</v>
      </c>
      <c r="P32" s="147" t="s">
        <v>175</v>
      </c>
      <c r="Q32" s="147" t="s">
        <v>743</v>
      </c>
      <c r="R32" s="147" t="s">
        <v>202</v>
      </c>
      <c r="S32" s="147"/>
      <c r="T32" s="147"/>
      <c r="U32" s="217"/>
      <c r="V32" s="147" t="s">
        <v>201</v>
      </c>
      <c r="W32" s="147"/>
      <c r="X32" s="154" t="s">
        <v>206</v>
      </c>
      <c r="Y32" s="147"/>
      <c r="Z32" s="150"/>
      <c r="AA32" s="151"/>
      <c r="AB32" s="150"/>
      <c r="AC32" s="151"/>
      <c r="AD32" s="152"/>
      <c r="AE32" s="153"/>
      <c r="AF32" s="148" t="s">
        <v>226</v>
      </c>
      <c r="AG32" s="147" t="s">
        <v>162</v>
      </c>
      <c r="AH32" s="147"/>
    </row>
    <row r="33" spans="4:34" ht="18" hidden="1" customHeight="1">
      <c r="D33" s="13">
        <v>23</v>
      </c>
      <c r="E33" s="13" t="s">
        <v>405</v>
      </c>
      <c r="F33" s="15" t="s">
        <v>153</v>
      </c>
      <c r="G33" s="118" t="s">
        <v>100</v>
      </c>
      <c r="H33" s="126" t="s">
        <v>226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724</v>
      </c>
      <c r="O33" s="127" t="s">
        <v>724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406</v>
      </c>
      <c r="F34" s="15" t="s">
        <v>155</v>
      </c>
      <c r="G34" s="118" t="s">
        <v>100</v>
      </c>
      <c r="H34" s="126" t="s">
        <v>226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725</v>
      </c>
      <c r="O34" s="127" t="s">
        <v>726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407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727</v>
      </c>
      <c r="O35" s="16" t="s">
        <v>728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408</v>
      </c>
      <c r="F36" s="15" t="s">
        <v>155</v>
      </c>
      <c r="G36" s="118" t="s">
        <v>100</v>
      </c>
      <c r="H36" s="126" t="s">
        <v>226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729</v>
      </c>
      <c r="O36" s="127" t="s">
        <v>729</v>
      </c>
      <c r="P36" s="147" t="s">
        <v>175</v>
      </c>
      <c r="Q36" s="147" t="s">
        <v>748</v>
      </c>
      <c r="R36" s="147" t="s">
        <v>287</v>
      </c>
      <c r="S36" s="147"/>
      <c r="T36" s="147"/>
      <c r="U36" s="217"/>
      <c r="V36" s="147" t="s">
        <v>201</v>
      </c>
      <c r="W36" s="147"/>
      <c r="X36" s="154" t="s">
        <v>206</v>
      </c>
      <c r="Y36" s="147"/>
      <c r="Z36" s="150" t="s">
        <v>746</v>
      </c>
      <c r="AA36" s="151" t="s">
        <v>750</v>
      </c>
      <c r="AB36" s="150" t="s">
        <v>746</v>
      </c>
      <c r="AC36" s="152" t="s">
        <v>749</v>
      </c>
      <c r="AD36" s="152"/>
      <c r="AE36" s="153"/>
      <c r="AF36" s="148" t="s">
        <v>226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409</v>
      </c>
      <c r="F37" s="15" t="s">
        <v>156</v>
      </c>
      <c r="G37" s="118" t="s">
        <v>123</v>
      </c>
      <c r="H37" s="126" t="s">
        <v>166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358</v>
      </c>
      <c r="O37" s="16" t="s">
        <v>730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410</v>
      </c>
      <c r="F38" s="15" t="s">
        <v>153</v>
      </c>
      <c r="G38" s="118" t="s">
        <v>228</v>
      </c>
      <c r="H38" s="126" t="s">
        <v>285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731</v>
      </c>
      <c r="O38" s="16" t="s">
        <v>732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411</v>
      </c>
      <c r="F39" s="15" t="s">
        <v>156</v>
      </c>
      <c r="G39" s="118" t="s">
        <v>123</v>
      </c>
      <c r="H39" s="126" t="s">
        <v>166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367</v>
      </c>
      <c r="O39" s="16" t="s">
        <v>733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412</v>
      </c>
      <c r="F40" s="15" t="s">
        <v>156</v>
      </c>
      <c r="G40" s="118" t="s">
        <v>124</v>
      </c>
      <c r="H40" s="126" t="s">
        <v>165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734</v>
      </c>
      <c r="O40" s="16" t="s">
        <v>735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413</v>
      </c>
      <c r="F41" s="15" t="s">
        <v>153</v>
      </c>
      <c r="G41" s="118" t="s">
        <v>100</v>
      </c>
      <c r="H41" s="126" t="s">
        <v>226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736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414</v>
      </c>
      <c r="F42" s="15" t="s">
        <v>155</v>
      </c>
      <c r="G42" s="118" t="s">
        <v>100</v>
      </c>
      <c r="H42" s="126" t="s">
        <v>226</v>
      </c>
      <c r="I42" s="14">
        <v>46158</v>
      </c>
      <c r="J42" s="48">
        <v>0.3527777777777778</v>
      </c>
      <c r="K42" s="118" t="s">
        <v>139</v>
      </c>
      <c r="L42" s="118" t="s">
        <v>375</v>
      </c>
      <c r="M42" s="118"/>
      <c r="N42" s="127" t="s">
        <v>737</v>
      </c>
      <c r="O42" s="127" t="s">
        <v>738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415</v>
      </c>
      <c r="F43" s="15" t="s">
        <v>155</v>
      </c>
      <c r="G43" s="118" t="s">
        <v>100</v>
      </c>
      <c r="H43" s="126" t="s">
        <v>226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739</v>
      </c>
      <c r="O43" s="127" t="s">
        <v>739</v>
      </c>
      <c r="P43" s="154" t="s">
        <v>171</v>
      </c>
      <c r="Q43" s="154" t="s">
        <v>744</v>
      </c>
      <c r="R43" s="147" t="s">
        <v>287</v>
      </c>
      <c r="S43" s="147"/>
      <c r="T43" s="147" t="s">
        <v>747</v>
      </c>
      <c r="U43" s="154" t="s">
        <v>745</v>
      </c>
      <c r="V43" s="147" t="s">
        <v>201</v>
      </c>
      <c r="W43" s="147"/>
      <c r="X43" s="154" t="s">
        <v>206</v>
      </c>
      <c r="Y43" s="147"/>
      <c r="Z43" s="150" t="s">
        <v>746</v>
      </c>
      <c r="AA43" s="151">
        <v>11.458333333333334</v>
      </c>
      <c r="AB43" s="150" t="s">
        <v>746</v>
      </c>
      <c r="AC43" s="151">
        <v>11.458333333333334</v>
      </c>
      <c r="AD43" s="152"/>
      <c r="AE43" s="153"/>
      <c r="AF43" s="148" t="s">
        <v>226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416</v>
      </c>
      <c r="F44" s="15" t="s">
        <v>155</v>
      </c>
      <c r="G44" s="118" t="s">
        <v>100</v>
      </c>
      <c r="H44" s="126" t="s">
        <v>226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740</v>
      </c>
      <c r="O44" s="127" t="s">
        <v>740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417</v>
      </c>
      <c r="F45" s="15" t="s">
        <v>155</v>
      </c>
      <c r="G45" s="118" t="s">
        <v>100</v>
      </c>
      <c r="H45" s="126" t="s">
        <v>226</v>
      </c>
      <c r="I45" s="14">
        <v>46158</v>
      </c>
      <c r="J45" s="48">
        <v>0.46527777777777779</v>
      </c>
      <c r="K45" s="118"/>
      <c r="L45" s="118"/>
      <c r="M45" s="118"/>
      <c r="N45" s="127" t="s">
        <v>741</v>
      </c>
      <c r="O45" s="127" t="s">
        <v>742</v>
      </c>
      <c r="P45" s="147" t="s">
        <v>171</v>
      </c>
      <c r="Q45" s="147" t="s">
        <v>789</v>
      </c>
      <c r="R45" s="147" t="s">
        <v>287</v>
      </c>
      <c r="S45" s="147"/>
      <c r="T45" s="147"/>
      <c r="U45" s="217"/>
      <c r="V45" s="147" t="s">
        <v>201</v>
      </c>
      <c r="W45" s="147"/>
      <c r="X45" s="154" t="s">
        <v>206</v>
      </c>
      <c r="Y45" s="147"/>
      <c r="Z45" s="150" t="s">
        <v>790</v>
      </c>
      <c r="AA45" s="248" t="s">
        <v>791</v>
      </c>
      <c r="AB45" s="150" t="s">
        <v>790</v>
      </c>
      <c r="AC45" s="152" t="s">
        <v>792</v>
      </c>
      <c r="AD45" s="152"/>
      <c r="AE45" s="153"/>
      <c r="AF45" s="148" t="s">
        <v>226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418</v>
      </c>
      <c r="F46" s="15" t="s">
        <v>153</v>
      </c>
      <c r="G46" s="118" t="s">
        <v>125</v>
      </c>
      <c r="H46" s="126" t="s">
        <v>161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752</v>
      </c>
      <c r="O46" s="16" t="s">
        <v>753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419</v>
      </c>
      <c r="F47" s="15" t="s">
        <v>156</v>
      </c>
      <c r="G47" s="118" t="s">
        <v>123</v>
      </c>
      <c r="H47" s="126" t="s">
        <v>166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287</v>
      </c>
      <c r="N47" s="127" t="s">
        <v>719</v>
      </c>
      <c r="O47" s="16" t="s">
        <v>754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420</v>
      </c>
      <c r="F48" s="15" t="s">
        <v>153</v>
      </c>
      <c r="G48" s="118" t="s">
        <v>125</v>
      </c>
      <c r="H48" s="126" t="s">
        <v>707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755</v>
      </c>
      <c r="O48" s="16" t="s">
        <v>756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421</v>
      </c>
      <c r="F49" s="15" t="s">
        <v>155</v>
      </c>
      <c r="G49" s="118" t="s">
        <v>125</v>
      </c>
      <c r="H49" s="126" t="s">
        <v>707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710</v>
      </c>
      <c r="O49" s="16" t="s">
        <v>757</v>
      </c>
      <c r="P49" s="147" t="s">
        <v>171</v>
      </c>
      <c r="Q49" s="147" t="s">
        <v>783</v>
      </c>
      <c r="R49" s="147" t="s">
        <v>287</v>
      </c>
      <c r="S49" s="147"/>
      <c r="T49" s="147" t="s">
        <v>784</v>
      </c>
      <c r="U49" s="217" t="s">
        <v>785</v>
      </c>
      <c r="V49" s="147" t="s">
        <v>201</v>
      </c>
      <c r="W49" s="147"/>
      <c r="X49" s="154" t="s">
        <v>206</v>
      </c>
      <c r="Y49" s="147"/>
      <c r="Z49" s="150" t="s">
        <v>768</v>
      </c>
      <c r="AA49" s="151">
        <v>0.875</v>
      </c>
      <c r="AB49" s="150" t="s">
        <v>768</v>
      </c>
      <c r="AC49" s="151">
        <v>0.91666666666666663</v>
      </c>
      <c r="AD49" s="152"/>
      <c r="AE49" s="153"/>
      <c r="AF49" s="247" t="s">
        <v>707</v>
      </c>
      <c r="AG49" s="147" t="s">
        <v>163</v>
      </c>
      <c r="AH49" s="147"/>
    </row>
    <row r="50" spans="4:34" ht="18" hidden="1" customHeight="1">
      <c r="D50" s="15">
        <v>40</v>
      </c>
      <c r="E50" s="13" t="s">
        <v>422</v>
      </c>
      <c r="F50" s="15" t="s">
        <v>153</v>
      </c>
      <c r="G50" s="118" t="s">
        <v>125</v>
      </c>
      <c r="H50" s="126" t="s">
        <v>707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758</v>
      </c>
      <c r="O50" s="16" t="s">
        <v>759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423</v>
      </c>
      <c r="F51" s="15" t="s">
        <v>155</v>
      </c>
      <c r="G51" s="118" t="s">
        <v>125</v>
      </c>
      <c r="H51" s="126" t="s">
        <v>707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760</v>
      </c>
      <c r="O51" s="16" t="s">
        <v>761</v>
      </c>
      <c r="P51" s="147" t="s">
        <v>171</v>
      </c>
      <c r="Q51" s="147" t="s">
        <v>765</v>
      </c>
      <c r="R51" s="147" t="s">
        <v>287</v>
      </c>
      <c r="S51" s="147"/>
      <c r="T51" s="147" t="s">
        <v>766</v>
      </c>
      <c r="U51" s="217" t="s">
        <v>767</v>
      </c>
      <c r="V51" s="147" t="s">
        <v>201</v>
      </c>
      <c r="W51" s="147"/>
      <c r="X51" s="154" t="s">
        <v>206</v>
      </c>
      <c r="Y51" s="147"/>
      <c r="Z51" s="150" t="s">
        <v>768</v>
      </c>
      <c r="AA51" s="151">
        <v>0.70833333333333337</v>
      </c>
      <c r="AB51" s="150" t="s">
        <v>768</v>
      </c>
      <c r="AC51" s="151">
        <v>0.75</v>
      </c>
      <c r="AD51" s="152"/>
      <c r="AE51" s="153"/>
      <c r="AF51" s="247" t="s">
        <v>707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424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762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425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763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764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426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769</v>
      </c>
      <c r="O54" s="16" t="s">
        <v>770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427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727</v>
      </c>
      <c r="O55" s="16" t="s">
        <v>771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428</v>
      </c>
      <c r="F56" s="15" t="s">
        <v>156</v>
      </c>
      <c r="G56" s="118" t="s">
        <v>123</v>
      </c>
      <c r="H56" s="126" t="s">
        <v>166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772</v>
      </c>
      <c r="O56" s="16" t="s">
        <v>773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429</v>
      </c>
      <c r="F57" s="15" t="s">
        <v>153</v>
      </c>
      <c r="G57" s="118" t="s">
        <v>229</v>
      </c>
      <c r="H57" s="126" t="s">
        <v>774</v>
      </c>
      <c r="I57" s="14">
        <v>46163</v>
      </c>
      <c r="J57" s="48" t="s">
        <v>775</v>
      </c>
      <c r="K57" s="118" t="s">
        <v>139</v>
      </c>
      <c r="L57" s="118" t="s">
        <v>140</v>
      </c>
      <c r="M57" s="118" t="s">
        <v>144</v>
      </c>
      <c r="N57" s="127" t="s">
        <v>776</v>
      </c>
      <c r="O57" s="16" t="s">
        <v>777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430</v>
      </c>
      <c r="F58" s="15" t="s">
        <v>156</v>
      </c>
      <c r="G58" s="118" t="s">
        <v>124</v>
      </c>
      <c r="H58" s="126" t="s">
        <v>165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287</v>
      </c>
      <c r="N58" s="127" t="s">
        <v>778</v>
      </c>
      <c r="O58" s="16" t="s">
        <v>779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431</v>
      </c>
      <c r="F59" s="15" t="s">
        <v>155</v>
      </c>
      <c r="G59" s="118" t="s">
        <v>100</v>
      </c>
      <c r="H59" s="126" t="s">
        <v>226</v>
      </c>
      <c r="I59" s="14">
        <v>46163</v>
      </c>
      <c r="J59" s="48" t="s">
        <v>781</v>
      </c>
      <c r="K59" s="118" t="s">
        <v>139</v>
      </c>
      <c r="L59" s="118" t="s">
        <v>375</v>
      </c>
      <c r="M59" s="118" t="s">
        <v>287</v>
      </c>
      <c r="N59" s="127" t="s">
        <v>108</v>
      </c>
      <c r="O59" s="127" t="s">
        <v>780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432</v>
      </c>
      <c r="F60" s="15" t="s">
        <v>153</v>
      </c>
      <c r="G60" s="118" t="s">
        <v>100</v>
      </c>
      <c r="H60" s="126" t="s">
        <v>226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782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433</v>
      </c>
      <c r="F61" s="15" t="s">
        <v>153</v>
      </c>
      <c r="G61" s="118" t="s">
        <v>125</v>
      </c>
      <c r="H61" s="126" t="s">
        <v>161</v>
      </c>
      <c r="I61" s="14">
        <v>46164</v>
      </c>
      <c r="J61" s="48">
        <v>0.375</v>
      </c>
      <c r="K61" s="118" t="s">
        <v>139</v>
      </c>
      <c r="L61" s="118" t="s">
        <v>375</v>
      </c>
      <c r="M61" s="118"/>
      <c r="N61" s="127"/>
      <c r="O61" s="16" t="s">
        <v>786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434</v>
      </c>
      <c r="F62" s="15" t="s">
        <v>153</v>
      </c>
      <c r="G62" s="118" t="s">
        <v>125</v>
      </c>
      <c r="H62" s="126" t="s">
        <v>161</v>
      </c>
      <c r="I62" s="14">
        <v>46164</v>
      </c>
      <c r="J62" s="48">
        <v>0.38194444444444442</v>
      </c>
      <c r="K62" s="118" t="s">
        <v>139</v>
      </c>
      <c r="L62" s="118" t="s">
        <v>375</v>
      </c>
      <c r="M62" s="118"/>
      <c r="N62" s="127"/>
      <c r="O62" s="16" t="s">
        <v>787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435</v>
      </c>
      <c r="F63" s="15" t="s">
        <v>153</v>
      </c>
      <c r="G63" s="118" t="s">
        <v>125</v>
      </c>
      <c r="H63" s="126" t="s">
        <v>161</v>
      </c>
      <c r="I63" s="14">
        <v>46164</v>
      </c>
      <c r="J63" s="48">
        <v>0.38263888888888886</v>
      </c>
      <c r="K63" s="118" t="s">
        <v>139</v>
      </c>
      <c r="L63" s="118" t="s">
        <v>375</v>
      </c>
      <c r="M63" s="118"/>
      <c r="N63" s="127"/>
      <c r="O63" s="16" t="s">
        <v>788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436</v>
      </c>
      <c r="F64" s="15" t="s">
        <v>156</v>
      </c>
      <c r="G64" s="118" t="s">
        <v>123</v>
      </c>
      <c r="H64" s="126" t="s">
        <v>166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719</v>
      </c>
      <c r="O64" s="16" t="s">
        <v>793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437</v>
      </c>
      <c r="F65" s="15" t="s">
        <v>156</v>
      </c>
      <c r="G65" s="118" t="s">
        <v>124</v>
      </c>
      <c r="H65" s="126" t="s">
        <v>165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287</v>
      </c>
      <c r="N65" s="127" t="s">
        <v>794</v>
      </c>
      <c r="O65" s="16" t="s">
        <v>795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438</v>
      </c>
      <c r="F66" s="15" t="s">
        <v>153</v>
      </c>
      <c r="G66" s="118" t="s">
        <v>125</v>
      </c>
      <c r="H66" s="126" t="s">
        <v>707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796</v>
      </c>
      <c r="O66" s="16" t="s">
        <v>797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439</v>
      </c>
      <c r="F67" s="15" t="s">
        <v>153</v>
      </c>
      <c r="G67" s="118" t="s">
        <v>125</v>
      </c>
      <c r="H67" s="126" t="s">
        <v>707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798</v>
      </c>
      <c r="O67" s="16" t="s">
        <v>799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440</v>
      </c>
      <c r="F68" s="15" t="s">
        <v>153</v>
      </c>
      <c r="G68" s="118" t="s">
        <v>125</v>
      </c>
      <c r="H68" s="126" t="s">
        <v>707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801</v>
      </c>
      <c r="O68" s="16" t="s">
        <v>800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441</v>
      </c>
      <c r="F69" s="15" t="s">
        <v>153</v>
      </c>
      <c r="G69" s="118" t="s">
        <v>125</v>
      </c>
      <c r="H69" s="126" t="s">
        <v>707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802</v>
      </c>
      <c r="O69" s="16" t="s">
        <v>803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442</v>
      </c>
      <c r="F70" s="15" t="s">
        <v>156</v>
      </c>
      <c r="G70" s="118" t="s">
        <v>123</v>
      </c>
      <c r="H70" s="126" t="s">
        <v>166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367</v>
      </c>
      <c r="O70" s="16" t="s">
        <v>804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443</v>
      </c>
      <c r="F71" s="15" t="s">
        <v>153</v>
      </c>
      <c r="G71" s="118" t="s">
        <v>101</v>
      </c>
      <c r="H71" s="126" t="s">
        <v>364</v>
      </c>
      <c r="I71" s="14">
        <v>46206</v>
      </c>
      <c r="J71" s="48">
        <v>0.40625</v>
      </c>
      <c r="K71" s="118" t="s">
        <v>139</v>
      </c>
      <c r="L71" s="118" t="s">
        <v>141</v>
      </c>
      <c r="M71" s="118" t="s">
        <v>144</v>
      </c>
      <c r="N71" s="127" t="s">
        <v>809</v>
      </c>
      <c r="O71" s="16" t="s">
        <v>810</v>
      </c>
      <c r="P71" s="147"/>
      <c r="Q71" s="147"/>
      <c r="R71" s="147"/>
      <c r="S71" s="147"/>
      <c r="T71" s="147"/>
      <c r="U71" s="217"/>
      <c r="V71" s="147"/>
      <c r="W71" s="147"/>
      <c r="X71" s="154"/>
      <c r="Y71" s="147"/>
      <c r="Z71" s="150"/>
      <c r="AA71" s="151"/>
      <c r="AB71" s="150"/>
      <c r="AC71" s="151"/>
      <c r="AD71" s="152"/>
      <c r="AE71" s="153"/>
      <c r="AF71" s="148"/>
      <c r="AG71" s="147"/>
      <c r="AH71" s="147"/>
    </row>
    <row r="72" spans="4:34" ht="18" customHeight="1">
      <c r="D72" s="15">
        <v>62</v>
      </c>
      <c r="E72" s="13" t="s">
        <v>444</v>
      </c>
      <c r="F72" s="15" t="s">
        <v>155</v>
      </c>
      <c r="G72" s="118" t="s">
        <v>101</v>
      </c>
      <c r="H72" s="126" t="s">
        <v>811</v>
      </c>
      <c r="I72" s="14">
        <v>46238</v>
      </c>
      <c r="J72" s="48">
        <v>8.4027777777777771E-2</v>
      </c>
      <c r="K72" s="118" t="s">
        <v>139</v>
      </c>
      <c r="L72" s="118" t="s">
        <v>140</v>
      </c>
      <c r="M72" s="118" t="s">
        <v>143</v>
      </c>
      <c r="N72" s="127" t="s">
        <v>812</v>
      </c>
      <c r="O72" s="16" t="s">
        <v>813</v>
      </c>
      <c r="P72" s="147" t="s">
        <v>171</v>
      </c>
      <c r="Q72" s="147" t="s">
        <v>818</v>
      </c>
      <c r="R72" s="147"/>
      <c r="S72" s="147"/>
      <c r="T72" s="147" t="s">
        <v>819</v>
      </c>
      <c r="U72" s="217" t="s">
        <v>820</v>
      </c>
      <c r="V72" s="147" t="s">
        <v>201</v>
      </c>
      <c r="W72" s="147"/>
      <c r="X72" s="154" t="s">
        <v>206</v>
      </c>
      <c r="Y72" s="147"/>
      <c r="Z72" s="249">
        <v>46120</v>
      </c>
      <c r="AA72" s="151">
        <v>9.375E-2</v>
      </c>
      <c r="AB72" s="249">
        <v>46120</v>
      </c>
      <c r="AC72" s="151">
        <v>0.14583333333333334</v>
      </c>
      <c r="AD72" s="152"/>
      <c r="AE72" s="153"/>
      <c r="AF72" s="148" t="s">
        <v>811</v>
      </c>
      <c r="AG72" s="147" t="s">
        <v>163</v>
      </c>
      <c r="AH72" s="147"/>
    </row>
    <row r="73" spans="4:34" ht="18" customHeight="1">
      <c r="D73" s="13">
        <v>63</v>
      </c>
      <c r="E73" s="13" t="s">
        <v>445</v>
      </c>
      <c r="F73" s="15" t="s">
        <v>153</v>
      </c>
      <c r="G73" s="118" t="s">
        <v>101</v>
      </c>
      <c r="H73" s="126" t="s">
        <v>364</v>
      </c>
      <c r="I73" s="14">
        <v>46238</v>
      </c>
      <c r="J73" s="48">
        <v>0.31736111111111115</v>
      </c>
      <c r="K73" s="118" t="s">
        <v>139</v>
      </c>
      <c r="L73" s="118" t="s">
        <v>141</v>
      </c>
      <c r="M73" s="118" t="s">
        <v>144</v>
      </c>
      <c r="N73" s="127" t="s">
        <v>814</v>
      </c>
      <c r="O73" s="16" t="s">
        <v>815</v>
      </c>
      <c r="P73" s="147"/>
      <c r="Q73" s="147"/>
      <c r="R73" s="147"/>
      <c r="S73" s="147"/>
      <c r="T73" s="147"/>
      <c r="U73" s="217"/>
      <c r="V73" s="147"/>
      <c r="W73" s="147"/>
      <c r="X73" s="154"/>
      <c r="Y73" s="147"/>
      <c r="Z73" s="150"/>
      <c r="AA73" s="151"/>
      <c r="AB73" s="150"/>
      <c r="AC73" s="151"/>
      <c r="AD73" s="152"/>
      <c r="AE73" s="153"/>
      <c r="AF73" s="148"/>
      <c r="AG73" s="147"/>
      <c r="AH73" s="147"/>
    </row>
    <row r="74" spans="4:34" ht="18" customHeight="1">
      <c r="D74" s="15">
        <v>64</v>
      </c>
      <c r="E74" s="13" t="s">
        <v>446</v>
      </c>
      <c r="F74" s="15" t="s">
        <v>153</v>
      </c>
      <c r="G74" s="118" t="s">
        <v>101</v>
      </c>
      <c r="H74" s="126" t="s">
        <v>364</v>
      </c>
      <c r="I74" s="14">
        <v>46238</v>
      </c>
      <c r="J74" s="48">
        <v>0.32222222222222224</v>
      </c>
      <c r="K74" s="118" t="s">
        <v>139</v>
      </c>
      <c r="L74" s="118" t="s">
        <v>141</v>
      </c>
      <c r="M74" s="118" t="s">
        <v>144</v>
      </c>
      <c r="N74" s="127" t="s">
        <v>111</v>
      </c>
      <c r="O74" s="16" t="s">
        <v>816</v>
      </c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customHeight="1">
      <c r="D75" s="13">
        <v>65</v>
      </c>
      <c r="E75" s="13" t="s">
        <v>447</v>
      </c>
      <c r="F75" s="15" t="s">
        <v>153</v>
      </c>
      <c r="G75" s="118" t="s">
        <v>101</v>
      </c>
      <c r="H75" s="126" t="s">
        <v>365</v>
      </c>
      <c r="I75" s="14">
        <v>46238</v>
      </c>
      <c r="J75" s="48">
        <v>0.32291666666666669</v>
      </c>
      <c r="K75" s="118" t="s">
        <v>139</v>
      </c>
      <c r="L75" s="118" t="s">
        <v>141</v>
      </c>
      <c r="M75" s="118" t="s">
        <v>144</v>
      </c>
      <c r="N75" s="127" t="s">
        <v>110</v>
      </c>
      <c r="O75" s="16" t="s">
        <v>816</v>
      </c>
      <c r="P75" s="147"/>
      <c r="Q75" s="147"/>
      <c r="R75" s="147"/>
      <c r="S75" s="147"/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customHeight="1">
      <c r="D76" s="15">
        <v>66</v>
      </c>
      <c r="E76" s="13" t="s">
        <v>448</v>
      </c>
      <c r="F76" s="15" t="s">
        <v>155</v>
      </c>
      <c r="G76" s="118" t="s">
        <v>101</v>
      </c>
      <c r="H76" s="126" t="s">
        <v>365</v>
      </c>
      <c r="I76" s="14">
        <v>46238</v>
      </c>
      <c r="J76" s="48">
        <v>0.32361111111111113</v>
      </c>
      <c r="K76" s="118" t="s">
        <v>104</v>
      </c>
      <c r="L76" s="118" t="s">
        <v>140</v>
      </c>
      <c r="M76" s="118" t="s">
        <v>143</v>
      </c>
      <c r="N76" s="127" t="s">
        <v>112</v>
      </c>
      <c r="O76" s="16" t="s">
        <v>817</v>
      </c>
      <c r="P76" s="147" t="s">
        <v>176</v>
      </c>
      <c r="Q76" s="147" t="s">
        <v>821</v>
      </c>
      <c r="R76" s="147" t="s">
        <v>287</v>
      </c>
      <c r="S76" s="147" t="s">
        <v>287</v>
      </c>
      <c r="T76" s="147" t="s">
        <v>287</v>
      </c>
      <c r="U76" s="217" t="s">
        <v>287</v>
      </c>
      <c r="V76" s="147" t="s">
        <v>201</v>
      </c>
      <c r="W76" s="147"/>
      <c r="X76" s="154" t="s">
        <v>206</v>
      </c>
      <c r="Y76" s="147"/>
      <c r="Z76" s="249">
        <v>46120</v>
      </c>
      <c r="AA76" s="151">
        <v>0.33333333333333331</v>
      </c>
      <c r="AB76" s="249">
        <v>46120</v>
      </c>
      <c r="AC76" s="151">
        <v>0.35416666666666669</v>
      </c>
      <c r="AD76" s="152"/>
      <c r="AE76" s="153"/>
      <c r="AF76" s="148" t="s">
        <v>365</v>
      </c>
      <c r="AG76" s="147" t="s">
        <v>230</v>
      </c>
      <c r="AH76" s="147"/>
    </row>
    <row r="77" spans="4:34" ht="18" customHeight="1">
      <c r="D77" s="13">
        <v>67</v>
      </c>
      <c r="E77" s="13" t="s">
        <v>449</v>
      </c>
      <c r="F77" s="15" t="s">
        <v>155</v>
      </c>
      <c r="G77" s="118" t="s">
        <v>101</v>
      </c>
      <c r="H77" s="126" t="s">
        <v>811</v>
      </c>
      <c r="I77" s="14">
        <v>46248</v>
      </c>
      <c r="J77" s="48">
        <v>0.9</v>
      </c>
      <c r="K77" s="118" t="s">
        <v>139</v>
      </c>
      <c r="L77" s="118" t="s">
        <v>140</v>
      </c>
      <c r="M77" s="118" t="s">
        <v>143</v>
      </c>
      <c r="N77" s="127" t="s">
        <v>822</v>
      </c>
      <c r="O77" s="16" t="s">
        <v>823</v>
      </c>
      <c r="P77" s="147"/>
      <c r="Q77" s="147"/>
      <c r="R77" s="147"/>
      <c r="S77" s="147"/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/>
      <c r="AH77" s="147"/>
    </row>
    <row r="78" spans="4:34" ht="18" customHeight="1">
      <c r="D78" s="15">
        <v>68</v>
      </c>
      <c r="E78" s="13" t="s">
        <v>450</v>
      </c>
      <c r="F78" s="15"/>
      <c r="G78" s="118" t="s">
        <v>101</v>
      </c>
      <c r="H78" s="126" t="s">
        <v>824</v>
      </c>
      <c r="I78" s="14">
        <v>46252</v>
      </c>
      <c r="J78" s="48">
        <v>0.59861111111111109</v>
      </c>
      <c r="K78" s="118" t="s">
        <v>139</v>
      </c>
      <c r="L78" s="118" t="s">
        <v>141</v>
      </c>
      <c r="M78" s="118"/>
      <c r="N78" s="127" t="s">
        <v>825</v>
      </c>
      <c r="O78" s="16" t="s">
        <v>826</v>
      </c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customHeight="1">
      <c r="D79" s="13">
        <v>69</v>
      </c>
      <c r="E79" s="13" t="s">
        <v>451</v>
      </c>
      <c r="F79" s="15"/>
      <c r="G79" s="118"/>
      <c r="H79" s="126"/>
      <c r="I79" s="14"/>
      <c r="J79" s="48"/>
      <c r="K79" s="118"/>
      <c r="L79" s="118"/>
      <c r="M79" s="118"/>
      <c r="N79" s="127"/>
      <c r="O79" s="16"/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customHeight="1">
      <c r="D80" s="15">
        <v>70</v>
      </c>
      <c r="E80" s="13" t="s">
        <v>452</v>
      </c>
      <c r="F80" s="15"/>
      <c r="G80" s="118"/>
      <c r="H80" s="126"/>
      <c r="I80" s="14"/>
      <c r="J80" s="48"/>
      <c r="K80" s="118"/>
      <c r="L80" s="118"/>
      <c r="M80" s="118"/>
      <c r="N80" s="127"/>
      <c r="O80" s="16"/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customHeight="1">
      <c r="D81" s="13">
        <v>71</v>
      </c>
      <c r="E81" s="13" t="s">
        <v>453</v>
      </c>
      <c r="F81" s="15"/>
      <c r="G81" s="118"/>
      <c r="H81" s="126"/>
      <c r="I81" s="14"/>
      <c r="J81" s="48"/>
      <c r="K81" s="118"/>
      <c r="L81" s="118"/>
      <c r="M81" s="118"/>
      <c r="N81" s="127"/>
      <c r="O81" s="16"/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customHeight="1">
      <c r="D82" s="15">
        <v>72</v>
      </c>
      <c r="E82" s="13" t="s">
        <v>454</v>
      </c>
      <c r="F82" s="15"/>
      <c r="G82" s="118"/>
      <c r="H82" s="126"/>
      <c r="I82" s="14"/>
      <c r="J82" s="48"/>
      <c r="K82" s="118"/>
      <c r="L82" s="118"/>
      <c r="M82" s="118"/>
      <c r="N82" s="127"/>
      <c r="O82" s="16"/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customHeight="1">
      <c r="D83" s="13">
        <v>73</v>
      </c>
      <c r="E83" s="13" t="s">
        <v>455</v>
      </c>
      <c r="F83" s="15"/>
      <c r="G83" s="118"/>
      <c r="H83" s="126"/>
      <c r="I83" s="14"/>
      <c r="J83" s="48"/>
      <c r="K83" s="118"/>
      <c r="L83" s="118"/>
      <c r="M83" s="118"/>
      <c r="N83" s="127"/>
      <c r="O83" s="16"/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customHeight="1">
      <c r="D84" s="15">
        <v>74</v>
      </c>
      <c r="E84" s="13" t="s">
        <v>456</v>
      </c>
      <c r="F84" s="15"/>
      <c r="G84" s="118"/>
      <c r="H84" s="126"/>
      <c r="I84" s="14"/>
      <c r="J84" s="48"/>
      <c r="K84" s="118"/>
      <c r="L84" s="118"/>
      <c r="M84" s="118"/>
      <c r="N84" s="127"/>
      <c r="O84" s="16"/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customHeight="1">
      <c r="D85" s="13">
        <v>75</v>
      </c>
      <c r="E85" s="13" t="s">
        <v>457</v>
      </c>
      <c r="F85" s="15"/>
      <c r="G85" s="118"/>
      <c r="H85" s="126"/>
      <c r="I85" s="14"/>
      <c r="J85" s="48"/>
      <c r="K85" s="118"/>
      <c r="L85" s="118"/>
      <c r="M85" s="118"/>
      <c r="N85" s="127"/>
      <c r="O85" s="16"/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15">
        <v>76</v>
      </c>
      <c r="E86" s="13" t="s">
        <v>458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customHeight="1">
      <c r="D87" s="13">
        <v>77</v>
      </c>
      <c r="E87" s="13" t="s">
        <v>459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customHeight="1">
      <c r="D88" s="15">
        <v>78</v>
      </c>
      <c r="E88" s="13" t="s">
        <v>460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customHeight="1">
      <c r="D89" s="13">
        <v>79</v>
      </c>
      <c r="E89" s="13" t="s">
        <v>461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customHeight="1">
      <c r="D90" s="15">
        <v>80</v>
      </c>
      <c r="E90" s="13" t="s">
        <v>462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customHeight="1">
      <c r="D91" s="13">
        <v>81</v>
      </c>
      <c r="E91" s="13" t="s">
        <v>463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customHeight="1">
      <c r="D92" s="15">
        <v>82</v>
      </c>
      <c r="E92" s="13" t="s">
        <v>464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customHeight="1">
      <c r="D93" s="13">
        <v>83</v>
      </c>
      <c r="E93" s="13" t="s">
        <v>465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customHeight="1">
      <c r="D94" s="15">
        <v>84</v>
      </c>
      <c r="E94" s="13" t="s">
        <v>466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customHeight="1">
      <c r="D95" s="13">
        <v>85</v>
      </c>
      <c r="E95" s="13" t="s">
        <v>467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customHeight="1">
      <c r="D96" s="15">
        <v>86</v>
      </c>
      <c r="E96" s="13" t="s">
        <v>468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customHeight="1">
      <c r="D97" s="13">
        <v>87</v>
      </c>
      <c r="E97" s="13" t="s">
        <v>469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customHeight="1">
      <c r="D98" s="15">
        <v>88</v>
      </c>
      <c r="E98" s="13" t="s">
        <v>470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customHeight="1">
      <c r="D99" s="13">
        <v>89</v>
      </c>
      <c r="E99" s="13" t="s">
        <v>471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customHeight="1">
      <c r="D100" s="15">
        <v>90</v>
      </c>
      <c r="E100" s="13" t="s">
        <v>472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customHeight="1">
      <c r="D101" s="13">
        <v>91</v>
      </c>
      <c r="E101" s="13" t="s">
        <v>473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customHeight="1">
      <c r="D102" s="15">
        <v>92</v>
      </c>
      <c r="E102" s="13" t="s">
        <v>474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customHeight="1">
      <c r="D103" s="13">
        <v>93</v>
      </c>
      <c r="E103" s="13" t="s">
        <v>475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customHeight="1">
      <c r="D104" s="15">
        <v>94</v>
      </c>
      <c r="E104" s="13" t="s">
        <v>476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customHeight="1">
      <c r="D105" s="13">
        <v>95</v>
      </c>
      <c r="E105" s="13" t="s">
        <v>477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customHeight="1">
      <c r="D106" s="15">
        <v>96</v>
      </c>
      <c r="E106" s="13" t="s">
        <v>478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customHeight="1">
      <c r="D107" s="13">
        <v>97</v>
      </c>
      <c r="E107" s="13" t="s">
        <v>479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customHeight="1">
      <c r="D108" s="15">
        <v>98</v>
      </c>
      <c r="E108" s="13" t="s">
        <v>480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customHeight="1">
      <c r="D109" s="13">
        <v>99</v>
      </c>
      <c r="E109" s="13" t="s">
        <v>481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customHeight="1">
      <c r="D110" s="15">
        <v>100</v>
      </c>
      <c r="E110" s="13" t="s">
        <v>482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customHeight="1">
      <c r="D111" s="13">
        <v>101</v>
      </c>
      <c r="E111" s="13" t="s">
        <v>483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customHeight="1">
      <c r="D112" s="15">
        <v>102</v>
      </c>
      <c r="E112" s="13" t="s">
        <v>484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485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486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487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488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489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490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491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492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493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494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495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496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497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498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499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500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501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502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503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504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505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506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507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508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509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510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511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512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513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514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515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516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517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518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519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520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521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522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523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524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525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526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527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528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529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530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531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532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533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534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535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536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537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538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539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540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541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542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543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544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545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546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547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548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549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550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551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552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553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554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555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556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557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558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559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560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561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562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563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564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565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566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567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568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569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570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571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572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573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574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575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576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577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578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579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580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581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582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583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584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585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customHeight="1">
      <c r="D214" s="15">
        <v>204</v>
      </c>
      <c r="E214" s="13" t="s">
        <v>586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587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588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589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590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591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592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593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594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595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596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597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598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599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600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601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602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603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604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605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606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607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608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609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610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611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612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613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614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615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616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617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618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619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620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621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622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623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624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625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626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627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628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629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630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631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632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633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634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635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636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637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638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639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640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641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642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643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644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645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646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647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customHeight="1">
      <c r="D276" s="15">
        <v>266</v>
      </c>
      <c r="E276" s="13" t="s">
        <v>648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649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650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651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652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653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654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655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656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657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658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659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660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661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662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663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664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665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666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667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668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669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670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671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672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673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674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customHeight="1">
      <c r="D303" s="13">
        <v>293</v>
      </c>
      <c r="E303" s="13" t="s">
        <v>675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676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677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678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679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680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681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682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683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684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 blank="1">
        <filter val="Dry Laminate"/>
      </filters>
    </filterColumn>
  </autoFilter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8853819D-A582-42BE-B4A1-5CC79C981263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74F8B76D-1BD6-4BB3-92EB-F1FF93928831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66DAD83D-40F3-4F04-8937-1B4B3027094A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9EA2050A-F3DA-4296-8EB4-9B26900199CF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A27260AC-5BCB-4DB3-909C-20E681312B6F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D619472A-4BB8-4966-B7A4-6193F4EBDC52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EF61744C-3398-4993-9B35-4D8676EFD926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E3E28AB4-B178-420D-ADA6-C87BE3476C4F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27365458-4151-4867-9AD8-8A6A4E15988C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0D75A8C9-50EC-4360-B3CF-FBA137579B57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78FD6FFC-7CE2-495E-ACA8-F3D9057874FE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D851029F-7C79-4BA5-B243-279E56626AD6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38065374-F27F-4133-9A89-42D177EEBAAD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8417BB3D-873C-48FD-AC6B-14363C039E00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853343C2-9C9B-4EEF-B912-E7EC48C499FA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7E9635D7-82CE-4E5D-9209-887EAFFDDD7A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6114E268-30FA-4A9E-9CA1-4D95A3CFD7DB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1DDEF7FD-04A3-4824-AF98-9B94B422DB02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A5BC5095-E1FA-4683-AA12-5DFE9A52C3CC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9C4767CF-7B7C-4697-8C41-2E056CFBF3E9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D4671D95-640B-4569-A7BA-4415AB66E58B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10C07759-946B-4C30-B475-87E2182FB178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16423ACE-4DE2-446B-A047-C4E446D44E03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E2856C6F-3116-4D6E-9FAD-34483D5A0102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302D9E79-8C84-484B-B4B1-DAFA85268B4D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6527B3E6-45B9-4AC1-AA19-7595541711E1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D7F17765-9F1D-46CA-83E4-EFA3885348D2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24D7ADB2-633D-4877-AE6B-DE0526D66E7F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E5B30140-52BD-4D4F-8111-ABA53DFA5839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0C1690FD-47CB-412C-A0E7-94631759181F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5F7F90CC-6924-4F7F-8917-333B8AAA70D9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6ACB18D5-E6F8-47E9-B598-DD79D5EF83D5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B9E34247-3612-49D0-85FC-27B99FB28F6B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0E94FF63-9AE2-4A25-99FA-60BAF008CBEA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70347411-1913-45E4-8D78-81EF3BD6CD07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AF11:AF1048576 H18:H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1051560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502920</xdr:colOff>
                    <xdr:row>2</xdr:row>
                    <xdr:rowOff>30480</xdr:rowOff>
                  </from>
                  <to>
                    <xdr:col>12</xdr:col>
                    <xdr:colOff>502920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89" zoomScale="70" zoomScaleNormal="70" zoomScaleSheetLayoutView="80" zoomScalePageLayoutView="80" workbookViewId="0">
      <selection activeCell="M36" sqref="M36:AB36"/>
    </sheetView>
  </sheetViews>
  <sheetFormatPr defaultColWidth="3.44140625" defaultRowHeight="19.95" customHeight="1" outlineLevelRow="1"/>
  <cols>
    <col min="1" max="1" width="2.44140625" style="55" customWidth="1"/>
    <col min="2" max="2" width="0.44140625" style="55" customWidth="1"/>
    <col min="3" max="3" width="1.44140625" style="55" customWidth="1"/>
    <col min="4" max="45" width="4" style="55" customWidth="1"/>
    <col min="46" max="46" width="1.44140625" style="55" customWidth="1"/>
    <col min="47" max="47" width="0.44140625" style="55" customWidth="1"/>
    <col min="48" max="48" width="3.44140625" style="55"/>
    <col min="49" max="49" width="21.44140625" style="55" bestFit="1" customWidth="1"/>
    <col min="50" max="58" width="3.44140625" style="55"/>
    <col min="59" max="59" width="5.44140625" style="55" bestFit="1" customWidth="1"/>
    <col min="60" max="16384" width="3.44140625" style="55"/>
  </cols>
  <sheetData>
    <row r="1" spans="3:52" ht="10.199999999999999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95" hidden="1" customHeight="1" outlineLevel="1">
      <c r="C2" s="100"/>
      <c r="D2" s="101" t="s">
        <v>99</v>
      </c>
      <c r="E2" s="100"/>
      <c r="F2" s="103" t="str">
        <f ca="1">JobSelection</f>
        <v>EN-26-009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95" hidden="1" customHeight="1" outlineLevel="1">
      <c r="C3" s="100"/>
      <c r="D3" s="139" t="s">
        <v>98</v>
      </c>
      <c r="E3" s="140"/>
      <c r="F3" s="140" t="s">
        <v>216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95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Dry Laminate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95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ประตูส่งฟิล์ม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95" hidden="1" customHeight="1" outlineLevel="1">
      <c r="C6" s="100"/>
      <c r="D6" s="102">
        <v>5</v>
      </c>
      <c r="E6" s="100"/>
      <c r="F6" s="100" t="s">
        <v>217</v>
      </c>
      <c r="G6" s="100"/>
      <c r="H6" s="100"/>
      <c r="I6" s="100"/>
      <c r="J6" s="100"/>
      <c r="K6" s="100"/>
      <c r="L6" s="103">
        <f t="array" aca="1" ref="L6" ca="1">VLOOKUP($F$2,DataRecord,D6,0)</f>
        <v>46153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95" hidden="1" customHeight="1" outlineLevel="1">
      <c r="C7" s="100"/>
      <c r="D7" s="102">
        <v>6</v>
      </c>
      <c r="E7" s="100"/>
      <c r="F7" s="100" t="s">
        <v>218</v>
      </c>
      <c r="G7" s="100"/>
      <c r="H7" s="100"/>
      <c r="I7" s="100"/>
      <c r="J7" s="100"/>
      <c r="K7" s="100"/>
      <c r="L7" s="103">
        <f t="array" aca="1" ref="L7" ca="1">VLOOKUP($F$2,DataRecord,D7,0)</f>
        <v>0.65902777777777777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95" hidden="1" customHeight="1" outlineLevel="1">
      <c r="C8" s="100"/>
      <c r="D8" s="102">
        <v>7</v>
      </c>
      <c r="E8" s="100"/>
      <c r="F8" s="100" t="s">
        <v>219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95" hidden="1" customHeight="1" outlineLevel="1">
      <c r="C9" s="100"/>
      <c r="D9" s="102">
        <v>8</v>
      </c>
      <c r="E9" s="100"/>
      <c r="F9" s="100" t="s">
        <v>220</v>
      </c>
      <c r="G9" s="100"/>
      <c r="H9" s="100"/>
      <c r="I9" s="100"/>
      <c r="J9" s="100"/>
      <c r="K9" s="100"/>
      <c r="L9" s="103" t="str">
        <f t="array" aca="1" ref="L9" ca="1">VLOOKUP($F$2,DataRecord,D9,0)</f>
        <v>Maintenance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95" hidden="1" customHeight="1" outlineLevel="1">
      <c r="C10" s="100"/>
      <c r="D10" s="102">
        <v>9</v>
      </c>
      <c r="E10" s="100"/>
      <c r="F10" s="100" t="s">
        <v>221</v>
      </c>
      <c r="G10" s="100"/>
      <c r="H10" s="100"/>
      <c r="I10" s="100"/>
      <c r="J10" s="100"/>
      <c r="K10" s="100"/>
      <c r="L10" s="103" t="str">
        <f t="array" aca="1" ref="L10" ca="1">VLOOKUP($F$2,DataRecord,D10,0)</f>
        <v>Wait for Maintenance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95" hidden="1" customHeight="1" outlineLevel="1">
      <c r="C11" s="100"/>
      <c r="D11" s="102">
        <v>11</v>
      </c>
      <c r="E11" s="100"/>
      <c r="F11" s="100" t="s">
        <v>222</v>
      </c>
      <c r="G11" s="100"/>
      <c r="H11" s="100"/>
      <c r="I11" s="100"/>
      <c r="J11" s="100"/>
      <c r="K11" s="100"/>
      <c r="L11" s="103" t="str">
        <f t="array" aca="1" ref="L11" ca="1">VLOOKUP($F$2,DataRecord,D11,0)</f>
        <v>ประตูชำรุด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95" hidden="1" customHeight="1" outlineLevel="1">
      <c r="C12" s="100"/>
      <c r="D12" s="102">
        <v>4</v>
      </c>
      <c r="E12" s="100"/>
      <c r="F12" s="100" t="s">
        <v>223</v>
      </c>
      <c r="G12" s="103"/>
      <c r="H12" s="100"/>
      <c r="I12" s="100"/>
      <c r="J12" s="100"/>
      <c r="K12" s="100"/>
      <c r="L12" s="103" t="str">
        <f t="array" aca="1" ref="L12" ca="1">VLOOKUP($F$2,DataRecord,D12,0)</f>
        <v>วุฒิชัย นาคศรี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95" hidden="1" customHeight="1" outlineLevel="1">
      <c r="C13" s="100"/>
      <c r="D13" s="102">
        <v>12</v>
      </c>
      <c r="E13" s="100"/>
      <c r="F13" s="100" t="s">
        <v>168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อะไหล่เสื่อมคุณภาพ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95" hidden="1" customHeight="1" outlineLevel="1">
      <c r="C14" s="100"/>
      <c r="D14" s="102">
        <v>13</v>
      </c>
      <c r="E14" s="100"/>
      <c r="F14" s="100" t="s">
        <v>231</v>
      </c>
      <c r="G14" s="103"/>
      <c r="H14" s="100"/>
      <c r="I14" s="100"/>
      <c r="J14" s="100"/>
      <c r="K14" s="100"/>
      <c r="L14" s="103" t="str">
        <f t="array" aca="1" ref="L14" ca="1">VLOOKUP($F$2,DataRecord,D14,0)</f>
        <v>ยิงสกรูซ่อม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95" hidden="1" customHeight="1" outlineLevel="1">
      <c r="C15" s="100"/>
      <c r="D15" s="102">
        <v>14</v>
      </c>
      <c r="E15" s="100"/>
      <c r="F15" s="100" t="s">
        <v>263</v>
      </c>
      <c r="G15" s="103"/>
      <c r="H15" s="100"/>
      <c r="I15" s="100"/>
      <c r="J15" s="100"/>
      <c r="K15" s="100"/>
      <c r="L15" s="103" t="str">
        <f ca="1">VLOOKUP($F$2,DataRecord,D15,0)</f>
        <v>ซ่อมแบบชั่วคราว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95" hidden="1" customHeight="1" outlineLevel="1">
      <c r="C16" s="100"/>
      <c r="D16" s="102">
        <v>15</v>
      </c>
      <c r="E16" s="100"/>
      <c r="F16" s="100" t="s">
        <v>268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95" hidden="1" customHeight="1" outlineLevel="1">
      <c r="C17" s="100"/>
      <c r="D17" s="102">
        <v>16</v>
      </c>
      <c r="E17" s="100"/>
      <c r="F17" s="100" t="s">
        <v>279</v>
      </c>
      <c r="G17" s="103"/>
      <c r="H17" s="100"/>
      <c r="I17" s="100"/>
      <c r="J17" s="100"/>
      <c r="K17" s="100"/>
      <c r="L17" s="103" t="str">
        <f t="array" aca="1" ref="L17" ca="1">VLOOKUP($F$2,DataRecord,D17,0)</f>
        <v>-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95" hidden="1" customHeight="1" outlineLevel="1">
      <c r="C18" s="100"/>
      <c r="D18" s="102">
        <v>17</v>
      </c>
      <c r="E18" s="100"/>
      <c r="F18" s="100" t="s">
        <v>280</v>
      </c>
      <c r="G18" s="103"/>
      <c r="H18" s="100"/>
      <c r="I18" s="100"/>
      <c r="J18" s="100"/>
      <c r="K18" s="100"/>
      <c r="L18" s="103" t="str">
        <f t="array" aca="1" ref="L18" ca="1">VLOOKUP($F$2,DataRecord,D18,0)</f>
        <v>-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95" hidden="1" customHeight="1" outlineLevel="1">
      <c r="C19" s="100"/>
      <c r="D19" s="102">
        <v>18</v>
      </c>
      <c r="E19" s="100"/>
      <c r="F19" s="100" t="s">
        <v>233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95" hidden="1" customHeight="1" outlineLevel="1">
      <c r="C20" s="100"/>
      <c r="D20" s="102">
        <v>19</v>
      </c>
      <c r="E20" s="100"/>
      <c r="F20" s="100" t="s">
        <v>267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95" hidden="1" customHeight="1" outlineLevel="1">
      <c r="C21" s="100"/>
      <c r="D21" s="100">
        <v>20</v>
      </c>
      <c r="E21" s="100"/>
      <c r="F21" s="100" t="s">
        <v>261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95" hidden="1" customHeight="1" outlineLevel="1">
      <c r="C22" s="100"/>
      <c r="D22" s="100">
        <v>21</v>
      </c>
      <c r="E22" s="100"/>
      <c r="F22" s="100" t="s">
        <v>259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95" hidden="1" customHeight="1" outlineLevel="1">
      <c r="C23" s="100"/>
      <c r="D23" s="100">
        <v>29</v>
      </c>
      <c r="E23" s="100"/>
      <c r="F23" s="100" t="s">
        <v>224</v>
      </c>
      <c r="G23" s="100"/>
      <c r="H23" s="100"/>
      <c r="I23" s="100"/>
      <c r="J23" s="100"/>
      <c r="K23" s="100"/>
      <c r="L23" s="103" t="str">
        <f t="array" aca="1" ref="L23" ca="1">VLOOKUP($F$2,DataRecord,D23,0)</f>
        <v>ณัฐวัฒน์ เอนกพงษ์ภักดี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95" hidden="1" customHeight="1" outlineLevel="1">
      <c r="C24" s="100"/>
      <c r="D24" s="100">
        <v>22</v>
      </c>
      <c r="E24" s="100"/>
      <c r="F24" s="100" t="s">
        <v>239</v>
      </c>
      <c r="G24" s="100"/>
      <c r="H24" s="100"/>
      <c r="I24" s="100"/>
      <c r="J24" s="100"/>
      <c r="K24" s="100"/>
      <c r="L24" s="103">
        <f t="array" aca="1" ref="L24" ca="1">VLOOKUP($F$2,DataRecord,D24,0)</f>
        <v>46179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95" hidden="1" customHeight="1" outlineLevel="1">
      <c r="C25" s="100"/>
      <c r="D25" s="100">
        <v>23</v>
      </c>
      <c r="E25" s="100"/>
      <c r="F25" s="100" t="s">
        <v>240</v>
      </c>
      <c r="G25" s="100"/>
      <c r="H25" s="100"/>
      <c r="I25" s="100"/>
      <c r="J25" s="100"/>
      <c r="K25" s="100"/>
      <c r="L25" s="103">
        <f t="array" aca="1" ref="L25" ca="1">VLOOKUP($F$2,DataRecord,D25,0)</f>
        <v>0.41666666666666669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95" hidden="1" customHeight="1" outlineLevel="1">
      <c r="C26" s="100"/>
      <c r="D26" s="100">
        <v>24</v>
      </c>
      <c r="E26" s="100"/>
      <c r="F26" s="100" t="s">
        <v>209</v>
      </c>
      <c r="G26" s="100"/>
      <c r="H26" s="100"/>
      <c r="I26" s="100"/>
      <c r="J26" s="100"/>
      <c r="K26" s="100"/>
      <c r="L26" s="103">
        <f t="array" aca="1" ref="L26" ca="1">VLOOKUP($F$2,DataRecord,D26,0)</f>
        <v>46179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95" hidden="1" customHeight="1" outlineLevel="1">
      <c r="C27" s="100"/>
      <c r="D27" s="100">
        <v>25</v>
      </c>
      <c r="E27" s="100"/>
      <c r="F27" s="100" t="s">
        <v>210</v>
      </c>
      <c r="G27" s="100"/>
      <c r="H27" s="100"/>
      <c r="I27" s="100"/>
      <c r="J27" s="100"/>
      <c r="K27" s="100"/>
      <c r="L27" s="103">
        <f t="array" aca="1" ref="L27" ca="1">VLOOKUP($F$2,DataRecord,D27,0)</f>
        <v>0.43055555555555558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4" collapsed="1"/>
    <row r="29" spans="3:49" ht="4.95" customHeight="1" thickBot="1"/>
    <row r="30" spans="3:49" ht="19.95" customHeight="1">
      <c r="C30" s="327"/>
      <c r="D30" s="328"/>
      <c r="E30" s="328"/>
      <c r="F30" s="328"/>
      <c r="G30" s="284"/>
      <c r="H30" s="284"/>
      <c r="I30" s="284"/>
      <c r="J30" s="284"/>
      <c r="K30" s="284"/>
      <c r="L30" s="284"/>
      <c r="M30" s="285"/>
      <c r="N30" s="291" t="s">
        <v>23</v>
      </c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3"/>
      <c r="AL30" s="333" t="s">
        <v>69</v>
      </c>
      <c r="AM30" s="334"/>
      <c r="AN30" s="334"/>
      <c r="AO30" s="334"/>
      <c r="AP30" s="334"/>
      <c r="AQ30" s="334"/>
      <c r="AR30" s="334"/>
      <c r="AS30" s="334"/>
      <c r="AT30" s="335"/>
      <c r="AW30" s="144"/>
    </row>
    <row r="31" spans="3:49" ht="12" customHeight="1">
      <c r="C31" s="329"/>
      <c r="D31" s="330"/>
      <c r="E31" s="330"/>
      <c r="F31" s="330"/>
      <c r="G31" s="269"/>
      <c r="H31" s="269"/>
      <c r="I31" s="269"/>
      <c r="J31" s="269"/>
      <c r="K31" s="269"/>
      <c r="L31" s="269"/>
      <c r="M31" s="286"/>
      <c r="N31" s="294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6"/>
      <c r="AL31" s="303" t="str">
        <f ca="1">"*"&amp;AL33&amp;"*"</f>
        <v>*EN-26-009*</v>
      </c>
      <c r="AM31" s="304"/>
      <c r="AN31" s="304"/>
      <c r="AO31" s="304"/>
      <c r="AP31" s="304"/>
      <c r="AQ31" s="304"/>
      <c r="AR31" s="304"/>
      <c r="AS31" s="304"/>
      <c r="AT31" s="305"/>
      <c r="AW31" s="144"/>
    </row>
    <row r="32" spans="3:49" ht="12" customHeight="1">
      <c r="C32" s="329"/>
      <c r="D32" s="330"/>
      <c r="E32" s="330"/>
      <c r="F32" s="330"/>
      <c r="G32" s="287"/>
      <c r="H32" s="287"/>
      <c r="I32" s="287"/>
      <c r="J32" s="287"/>
      <c r="K32" s="287"/>
      <c r="L32" s="287"/>
      <c r="M32" s="288"/>
      <c r="N32" s="297" t="s">
        <v>24</v>
      </c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9"/>
      <c r="AL32" s="303"/>
      <c r="AM32" s="304"/>
      <c r="AN32" s="304"/>
      <c r="AO32" s="304"/>
      <c r="AP32" s="304"/>
      <c r="AQ32" s="304"/>
      <c r="AR32" s="304"/>
      <c r="AS32" s="304"/>
      <c r="AT32" s="305"/>
      <c r="AW32" s="144"/>
    </row>
    <row r="33" spans="3:54" ht="19.95" customHeight="1" thickBot="1">
      <c r="C33" s="331"/>
      <c r="D33" s="332"/>
      <c r="E33" s="332"/>
      <c r="F33" s="332"/>
      <c r="G33" s="289"/>
      <c r="H33" s="289"/>
      <c r="I33" s="289"/>
      <c r="J33" s="289"/>
      <c r="K33" s="289"/>
      <c r="L33" s="289"/>
      <c r="M33" s="290"/>
      <c r="N33" s="300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  <c r="AF33" s="301"/>
      <c r="AG33" s="301"/>
      <c r="AH33" s="301"/>
      <c r="AI33" s="301"/>
      <c r="AJ33" s="301"/>
      <c r="AK33" s="302"/>
      <c r="AL33" s="336" t="str">
        <f ca="1">F2</f>
        <v>EN-26-009</v>
      </c>
      <c r="AM33" s="337"/>
      <c r="AN33" s="337"/>
      <c r="AO33" s="337"/>
      <c r="AP33" s="337"/>
      <c r="AQ33" s="337"/>
      <c r="AR33" s="337"/>
      <c r="AS33" s="337"/>
      <c r="AT33" s="338"/>
      <c r="AW33" s="144"/>
    </row>
    <row r="34" spans="3:54" ht="25.2" customHeight="1">
      <c r="C34" s="345" t="s">
        <v>25</v>
      </c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  <c r="AI34" s="346"/>
      <c r="AJ34" s="346"/>
      <c r="AK34" s="346"/>
      <c r="AL34" s="346"/>
      <c r="AM34" s="346"/>
      <c r="AN34" s="346"/>
      <c r="AO34" s="346"/>
      <c r="AP34" s="346"/>
      <c r="AQ34" s="346"/>
      <c r="AR34" s="346"/>
      <c r="AS34" s="346"/>
      <c r="AT34" s="347"/>
      <c r="AW34" s="146" t="s">
        <v>270</v>
      </c>
    </row>
    <row r="35" spans="3:54" ht="10.199999999999999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2" customHeight="1">
      <c r="C36" s="68"/>
      <c r="D36" s="60" t="s">
        <v>134</v>
      </c>
      <c r="M36" s="344" t="s">
        <v>101</v>
      </c>
      <c r="N36" s="344"/>
      <c r="O36" s="344"/>
      <c r="P36" s="344"/>
      <c r="Q36" s="344"/>
      <c r="R36" s="344"/>
      <c r="S36" s="344"/>
      <c r="T36" s="344"/>
      <c r="U36" s="344"/>
      <c r="V36" s="344"/>
      <c r="W36" s="344"/>
      <c r="X36" s="344"/>
      <c r="Y36" s="344"/>
      <c r="Z36" s="344"/>
      <c r="AA36" s="344"/>
      <c r="AB36" s="344"/>
      <c r="AC36" s="211"/>
      <c r="AD36" s="212"/>
      <c r="AE36" s="60" t="s">
        <v>28</v>
      </c>
      <c r="AF36" s="61"/>
      <c r="AG36" s="61"/>
      <c r="AH36" s="61"/>
      <c r="AL36" s="342">
        <f ca="1">L6</f>
        <v>46153</v>
      </c>
      <c r="AM36" s="342"/>
      <c r="AN36" s="342"/>
      <c r="AO36" s="342"/>
      <c r="AP36" s="342"/>
      <c r="AQ36" s="342"/>
      <c r="AR36" s="342"/>
      <c r="AS36" s="342"/>
      <c r="AT36" s="69"/>
    </row>
    <row r="37" spans="3:54" s="67" customFormat="1" ht="4.95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2" customHeight="1">
      <c r="C38" s="68"/>
      <c r="D38" s="60" t="s">
        <v>27</v>
      </c>
      <c r="M38" s="348" t="str">
        <f ca="1">$L$5</f>
        <v>ประตูส่งฟิล์ม</v>
      </c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209"/>
      <c r="AD38" s="212"/>
      <c r="AE38" s="60" t="s">
        <v>29</v>
      </c>
      <c r="AF38" s="61"/>
      <c r="AG38" s="61"/>
      <c r="AH38" s="61"/>
      <c r="AL38" s="343">
        <f ca="1">L7</f>
        <v>0.65902777777777777</v>
      </c>
      <c r="AM38" s="343"/>
      <c r="AN38" s="343"/>
      <c r="AO38" s="343"/>
      <c r="AP38" s="343"/>
      <c r="AQ38" s="343"/>
      <c r="AR38" s="343"/>
      <c r="AS38" s="343"/>
      <c r="AT38" s="69"/>
    </row>
    <row r="39" spans="3:54" ht="10.199999999999999" customHeight="1">
      <c r="C39" s="56"/>
      <c r="AT39" s="57"/>
      <c r="BB39" s="55" t="s">
        <v>289</v>
      </c>
    </row>
    <row r="40" spans="3:54" s="54" customFormat="1" ht="22.95" customHeight="1">
      <c r="C40" s="58"/>
      <c r="D40" s="72" t="s">
        <v>272</v>
      </c>
      <c r="M40" s="206"/>
      <c r="N40" s="54" t="s">
        <v>30</v>
      </c>
      <c r="U40" s="207" t="str">
        <f ca="1">IF($L$8="Equipment","P","")</f>
        <v/>
      </c>
      <c r="V40" s="54" t="s">
        <v>361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289</v>
      </c>
    </row>
    <row r="41" spans="3:54" s="54" customFormat="1" ht="4.95" customHeight="1">
      <c r="C41" s="58"/>
      <c r="M41" s="116"/>
      <c r="U41" s="116"/>
      <c r="AE41" s="116"/>
      <c r="AT41" s="59"/>
    </row>
    <row r="42" spans="3:54" s="54" customFormat="1" ht="22.95" customHeight="1">
      <c r="C42" s="58"/>
      <c r="D42" s="72" t="s">
        <v>273</v>
      </c>
      <c r="M42" s="207"/>
      <c r="N42" s="54" t="s">
        <v>286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5" customHeight="1">
      <c r="C43" s="58"/>
      <c r="M43" s="116"/>
      <c r="U43" s="116"/>
      <c r="AT43" s="59"/>
    </row>
    <row r="44" spans="3:54" s="54" customFormat="1" ht="22.95" customHeight="1">
      <c r="C44" s="58"/>
      <c r="D44" s="72" t="s">
        <v>274</v>
      </c>
      <c r="M44" s="207" t="str">
        <f t="array" aca="1" ref="M44" ca="1">IF($L$10="Break Down","P","")</f>
        <v/>
      </c>
      <c r="N44" s="54" t="s">
        <v>360</v>
      </c>
      <c r="U44" s="206" t="str">
        <f t="array" aca="1" ref="U44" ca="1">IF($L$10="Wait for Maintenance","P","")</f>
        <v>P</v>
      </c>
      <c r="V44" s="54" t="s">
        <v>357</v>
      </c>
      <c r="AT44" s="59"/>
    </row>
    <row r="45" spans="3:54" s="54" customFormat="1" ht="10.199999999999999" customHeight="1">
      <c r="C45" s="58"/>
      <c r="AT45" s="59"/>
    </row>
    <row r="46" spans="3:54" s="61" customFormat="1" ht="22.95" customHeight="1">
      <c r="C46" s="62"/>
      <c r="D46" s="70" t="s">
        <v>66</v>
      </c>
      <c r="AT46" s="63"/>
    </row>
    <row r="47" spans="3:54" s="61" customFormat="1" ht="24.6">
      <c r="C47" s="62"/>
      <c r="D47" s="350" t="str">
        <f ca="1">"      "&amp;$L$11</f>
        <v xml:space="preserve">      ประตูชำรุด</v>
      </c>
      <c r="E47" s="350"/>
      <c r="F47" s="350"/>
      <c r="G47" s="350"/>
      <c r="H47" s="350"/>
      <c r="I47" s="350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50"/>
      <c r="AA47" s="350"/>
      <c r="AB47" s="350"/>
      <c r="AC47" s="350"/>
      <c r="AD47" s="350"/>
      <c r="AE47" s="350"/>
      <c r="AF47" s="350"/>
      <c r="AG47" s="350"/>
      <c r="AH47" s="350"/>
      <c r="AI47" s="350"/>
      <c r="AJ47" s="350"/>
      <c r="AK47" s="350"/>
      <c r="AL47" s="350"/>
      <c r="AM47" s="350"/>
      <c r="AN47" s="350"/>
      <c r="AO47" s="350"/>
      <c r="AP47" s="350"/>
      <c r="AQ47" s="350"/>
      <c r="AR47" s="350"/>
      <c r="AS47" s="350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49"/>
      <c r="E49" s="349"/>
      <c r="F49" s="349"/>
      <c r="G49" s="349"/>
      <c r="H49" s="349"/>
      <c r="I49" s="349"/>
      <c r="J49" s="349"/>
      <c r="K49" s="349"/>
      <c r="L49" s="349"/>
      <c r="M49" s="349"/>
      <c r="N49" s="349"/>
      <c r="O49" s="349"/>
      <c r="P49" s="349"/>
      <c r="Q49" s="349"/>
      <c r="R49" s="349"/>
      <c r="S49" s="349"/>
      <c r="T49" s="349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59"/>
    </row>
    <row r="50" spans="3:46" s="54" customFormat="1" ht="12" customHeight="1">
      <c r="C50" s="58"/>
      <c r="AT50" s="59"/>
    </row>
    <row r="51" spans="3:46" s="61" customFormat="1" ht="25.2" customHeight="1">
      <c r="C51" s="62"/>
      <c r="D51" s="268"/>
      <c r="E51" s="268"/>
      <c r="F51" s="268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269"/>
      <c r="S51" s="269"/>
      <c r="T51" s="269"/>
      <c r="U51" s="269"/>
      <c r="Y51" s="268" t="s">
        <v>83</v>
      </c>
      <c r="Z51" s="268"/>
      <c r="AA51" s="268"/>
      <c r="AB51" s="351" t="str">
        <f ca="1">$L$12</f>
        <v>วุฒิชัย นาคศรี</v>
      </c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269" t="s">
        <v>85</v>
      </c>
      <c r="AN51" s="269"/>
      <c r="AO51" s="269"/>
      <c r="AP51" s="269"/>
      <c r="AQ51" s="269"/>
      <c r="AR51" s="269"/>
      <c r="AS51" s="269"/>
      <c r="AT51" s="63"/>
    </row>
    <row r="52" spans="3:46" ht="10.199999999999999" customHeight="1">
      <c r="C52" s="56"/>
      <c r="AT52" s="57"/>
    </row>
    <row r="53" spans="3:46" ht="25.2" customHeight="1">
      <c r="C53" s="321" t="s">
        <v>26</v>
      </c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  <c r="S53" s="322"/>
      <c r="T53" s="322"/>
      <c r="U53" s="322"/>
      <c r="V53" s="322"/>
      <c r="W53" s="322"/>
      <c r="X53" s="322"/>
      <c r="Y53" s="322"/>
      <c r="Z53" s="322"/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3"/>
    </row>
    <row r="54" spans="3:46" ht="4.95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95" customHeight="1">
      <c r="C55" s="56"/>
      <c r="D55" s="72" t="s">
        <v>62</v>
      </c>
      <c r="AT55" s="57"/>
    </row>
    <row r="56" spans="3:46" ht="4.95" customHeight="1">
      <c r="C56" s="56"/>
      <c r="AT56" s="57"/>
    </row>
    <row r="57" spans="3:46" ht="19.95" customHeight="1">
      <c r="C57" s="56"/>
      <c r="D57" s="208" t="str">
        <f ca="1">IF($L$13="อะไหล่เสื่อมคุณภาพ","P","")</f>
        <v>P</v>
      </c>
      <c r="E57" s="54" t="s">
        <v>275</v>
      </c>
      <c r="R57" s="208" t="str">
        <f t="array" aca="1" ref="R57" ca="1">IF($L$13="ขาดการบำรุงรักษา","P","")</f>
        <v/>
      </c>
      <c r="S57" s="54" t="s">
        <v>277</v>
      </c>
      <c r="AF57" s="208" t="str">
        <f t="array" aca="1" ref="AF57" ca="1">IF($L$13="ไม่ได้ซ่อมบำรุงตามแผน","P","")</f>
        <v/>
      </c>
      <c r="AG57" s="54" t="s">
        <v>271</v>
      </c>
      <c r="AT57" s="57"/>
    </row>
    <row r="58" spans="3:46" ht="4.95" customHeight="1">
      <c r="C58" s="56"/>
      <c r="E58" s="54"/>
      <c r="S58" s="54"/>
      <c r="AT58" s="57"/>
    </row>
    <row r="59" spans="3:46" ht="19.95" customHeight="1">
      <c r="C59" s="56"/>
      <c r="D59" s="208" t="str">
        <f t="array" aca="1" ref="D59" ca="1">IF($L$13="ใช้งานผิดประเภท","P","")</f>
        <v/>
      </c>
      <c r="E59" s="54" t="s">
        <v>276</v>
      </c>
      <c r="R59" s="208" t="str">
        <f t="array" aca="1" ref="R59" ca="1">IF($L$13="อุบัติเหตุ","P","")</f>
        <v/>
      </c>
      <c r="S59" s="54" t="s">
        <v>278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99999999999999" customHeight="1">
      <c r="C60" s="56"/>
      <c r="E60" s="54"/>
      <c r="R60" s="54"/>
      <c r="AT60" s="57"/>
    </row>
    <row r="61" spans="3:46" ht="25.2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262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5" customHeight="1">
      <c r="C62" s="56"/>
      <c r="S62" s="54"/>
      <c r="AC62" s="80"/>
      <c r="AT62" s="57"/>
    </row>
    <row r="63" spans="3:46" ht="19.95" customHeight="1">
      <c r="C63" s="56"/>
      <c r="D63" s="208" t="str">
        <f t="array" aca="1" ref="D63" ca="1">IF($L$15="ซ่อมแบบชั่วคราว","P","")</f>
        <v>P</v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5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95" customHeight="1">
      <c r="C65" s="56"/>
      <c r="E65" s="54" t="s">
        <v>72</v>
      </c>
      <c r="S65" s="54"/>
      <c r="AC65" s="374" t="s">
        <v>204</v>
      </c>
      <c r="AD65" s="362"/>
      <c r="AE65" s="362"/>
      <c r="AF65" s="362"/>
      <c r="AG65" s="362"/>
      <c r="AH65" s="257" t="s">
        <v>64</v>
      </c>
      <c r="AI65" s="257"/>
      <c r="AJ65" s="386" t="str">
        <f ca="1">IF(AL63="P",L22,"")</f>
        <v/>
      </c>
      <c r="AK65" s="386"/>
      <c r="AL65" s="386"/>
      <c r="AM65" s="386"/>
      <c r="AN65" s="386"/>
      <c r="AO65" s="386"/>
      <c r="AP65" s="386"/>
      <c r="AQ65" s="386"/>
      <c r="AR65" s="386"/>
      <c r="AS65" s="386"/>
      <c r="AT65" s="57"/>
    </row>
    <row r="66" spans="3:46" ht="4.95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95" customHeight="1">
      <c r="C67" s="56"/>
      <c r="E67" s="257" t="s">
        <v>64</v>
      </c>
      <c r="F67" s="257"/>
      <c r="G67" s="258">
        <f ca="1">IF($D$63="P",$L$16,"")</f>
        <v>0</v>
      </c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  <c r="V67" s="258"/>
      <c r="W67" s="258"/>
      <c r="X67" s="258"/>
      <c r="Y67" s="258"/>
      <c r="Z67" s="258"/>
      <c r="AC67" s="80"/>
      <c r="AD67" s="54" t="s">
        <v>75</v>
      </c>
      <c r="AE67" s="386" t="str">
        <f ca="1">$L$23</f>
        <v>ณัฐวัฒน์ เอนกพงษ์ภักดี</v>
      </c>
      <c r="AF67" s="386"/>
      <c r="AG67" s="386"/>
      <c r="AH67" s="386"/>
      <c r="AI67" s="386"/>
      <c r="AJ67" s="386"/>
      <c r="AK67" s="386"/>
      <c r="AL67" s="386"/>
      <c r="AM67" s="386"/>
      <c r="AN67" s="386"/>
      <c r="AO67" s="386"/>
      <c r="AP67" s="386"/>
      <c r="AQ67" s="386"/>
      <c r="AR67" s="386"/>
      <c r="AS67" s="386"/>
      <c r="AT67" s="57"/>
    </row>
    <row r="68" spans="3:46" ht="4.95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95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315"/>
      <c r="AF69" s="315"/>
      <c r="AG69" s="315"/>
      <c r="AH69" s="315"/>
      <c r="AI69" s="315"/>
      <c r="AJ69" s="315"/>
      <c r="AK69" s="315"/>
      <c r="AL69" s="315"/>
      <c r="AM69" s="315"/>
      <c r="AN69" s="315"/>
      <c r="AO69" s="315"/>
      <c r="AP69" s="315"/>
      <c r="AQ69" s="315"/>
      <c r="AR69" s="315"/>
      <c r="AS69" s="315"/>
      <c r="AT69" s="57"/>
    </row>
    <row r="70" spans="3:46" ht="4.95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95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57"/>
    </row>
    <row r="72" spans="3:46" ht="4.95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95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5"/>
      <c r="AF73" s="315"/>
      <c r="AG73" s="315"/>
      <c r="AH73" s="315"/>
      <c r="AI73" s="315"/>
      <c r="AJ73" s="315"/>
      <c r="AK73" s="315"/>
      <c r="AL73" s="315"/>
      <c r="AM73" s="315"/>
      <c r="AN73" s="315"/>
      <c r="AO73" s="315"/>
      <c r="AP73" s="315"/>
      <c r="AQ73" s="315"/>
      <c r="AR73" s="315"/>
      <c r="AS73" s="315"/>
      <c r="AT73" s="57"/>
    </row>
    <row r="74" spans="3:46" ht="4.95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95" customHeight="1">
      <c r="C75" s="56"/>
      <c r="E75" s="257" t="s">
        <v>64</v>
      </c>
      <c r="F75" s="257"/>
      <c r="G75" s="319" t="str">
        <f ca="1">IF($D$71="P",$L$20,"")</f>
        <v/>
      </c>
      <c r="H75" s="319"/>
      <c r="I75" s="319"/>
      <c r="J75" s="319"/>
      <c r="K75" s="319"/>
      <c r="L75" s="319"/>
      <c r="M75" s="319"/>
      <c r="N75" s="319"/>
      <c r="O75" s="319"/>
      <c r="P75" s="319"/>
      <c r="Q75" s="319"/>
      <c r="R75" s="319"/>
      <c r="S75" s="319"/>
      <c r="T75" s="319"/>
      <c r="U75" s="319"/>
      <c r="V75" s="319"/>
      <c r="W75" s="319"/>
      <c r="X75" s="319"/>
      <c r="Y75" s="319"/>
      <c r="Z75" s="319"/>
      <c r="AA75" s="98"/>
      <c r="AC75" s="80"/>
      <c r="AD75" s="54" t="s">
        <v>79</v>
      </c>
      <c r="AE75" s="315"/>
      <c r="AF75" s="315"/>
      <c r="AG75" s="315"/>
      <c r="AH75" s="315"/>
      <c r="AI75" s="315"/>
      <c r="AJ75" s="315"/>
      <c r="AK75" s="315"/>
      <c r="AL75" s="315"/>
      <c r="AM75" s="315"/>
      <c r="AN75" s="315"/>
      <c r="AO75" s="315"/>
      <c r="AP75" s="315"/>
      <c r="AQ75" s="315"/>
      <c r="AR75" s="315"/>
      <c r="AS75" s="315"/>
      <c r="AT75" s="57"/>
    </row>
    <row r="76" spans="3:46" ht="4.95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95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4.6">
      <c r="C78" s="62"/>
      <c r="D78" s="317" t="str">
        <f ca="1">"      "&amp;$L$14</f>
        <v xml:space="preserve">      ยิงสกรูซ่อม</v>
      </c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317"/>
      <c r="S78" s="317"/>
      <c r="T78" s="317"/>
      <c r="U78" s="317"/>
      <c r="V78" s="317"/>
      <c r="W78" s="317"/>
      <c r="X78" s="317"/>
      <c r="Y78" s="317"/>
      <c r="Z78" s="317"/>
      <c r="AA78" s="317"/>
      <c r="AB78" s="317"/>
      <c r="AC78" s="317"/>
      <c r="AD78" s="317"/>
      <c r="AE78" s="317"/>
      <c r="AF78" s="317"/>
      <c r="AG78" s="317"/>
      <c r="AH78" s="317"/>
      <c r="AI78" s="317"/>
      <c r="AJ78" s="317"/>
      <c r="AK78" s="317"/>
      <c r="AL78" s="317"/>
      <c r="AM78" s="317"/>
      <c r="AN78" s="317"/>
      <c r="AO78" s="317"/>
      <c r="AP78" s="317"/>
      <c r="AQ78" s="317"/>
      <c r="AR78" s="317"/>
      <c r="AS78" s="317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8"/>
      <c r="AA80" s="318"/>
      <c r="AB80" s="318"/>
      <c r="AC80" s="318"/>
      <c r="AD80" s="318"/>
      <c r="AE80" s="318"/>
      <c r="AF80" s="318"/>
      <c r="AG80" s="318"/>
      <c r="AH80" s="318"/>
      <c r="AI80" s="318"/>
      <c r="AJ80" s="318"/>
      <c r="AK80" s="318"/>
      <c r="AL80" s="318"/>
      <c r="AM80" s="318"/>
      <c r="AN80" s="318"/>
      <c r="AO80" s="318"/>
      <c r="AP80" s="318"/>
      <c r="AQ80" s="318"/>
      <c r="AR80" s="318"/>
      <c r="AS80" s="318"/>
      <c r="AT80" s="59"/>
    </row>
    <row r="81" spans="3:46" s="54" customFormat="1" ht="15" customHeight="1">
      <c r="C81" s="58"/>
      <c r="AT81" s="59"/>
    </row>
    <row r="82" spans="3:46" s="61" customFormat="1" ht="25.2" customHeight="1">
      <c r="C82" s="62"/>
      <c r="D82" s="268" t="s">
        <v>83</v>
      </c>
      <c r="E82" s="268"/>
      <c r="F82" s="268"/>
      <c r="G82" s="316" t="s">
        <v>230</v>
      </c>
      <c r="H82" s="316"/>
      <c r="I82" s="316"/>
      <c r="J82" s="316"/>
      <c r="K82" s="316"/>
      <c r="L82" s="316"/>
      <c r="M82" s="316"/>
      <c r="N82" s="316"/>
      <c r="O82" s="316"/>
      <c r="P82" s="316"/>
      <c r="Q82" s="316"/>
      <c r="R82" s="269" t="s">
        <v>82</v>
      </c>
      <c r="S82" s="269"/>
      <c r="T82" s="269"/>
      <c r="U82" s="269"/>
      <c r="Y82" s="268" t="s">
        <v>84</v>
      </c>
      <c r="Z82" s="268"/>
      <c r="AA82" s="268"/>
      <c r="AB82" s="316"/>
      <c r="AC82" s="316"/>
      <c r="AD82" s="316"/>
      <c r="AE82" s="316"/>
      <c r="AF82" s="316"/>
      <c r="AG82" s="316"/>
      <c r="AH82" s="316"/>
      <c r="AI82" s="316"/>
      <c r="AJ82" s="316"/>
      <c r="AK82" s="316"/>
      <c r="AL82" s="316"/>
      <c r="AM82" s="269" t="s">
        <v>81</v>
      </c>
      <c r="AN82" s="269"/>
      <c r="AO82" s="269"/>
      <c r="AP82" s="269"/>
      <c r="AQ82" s="269"/>
      <c r="AR82" s="269"/>
      <c r="AS82" s="269"/>
      <c r="AT82" s="63"/>
    </row>
    <row r="83" spans="3:46" s="54" customFormat="1" ht="10.199999999999999" customHeight="1">
      <c r="C83" s="58"/>
      <c r="AT83" s="59"/>
    </row>
    <row r="84" spans="3:46" s="54" customFormat="1" ht="25.2" customHeight="1">
      <c r="C84" s="58"/>
      <c r="D84" s="339" t="s">
        <v>258</v>
      </c>
      <c r="E84" s="340"/>
      <c r="F84" s="340"/>
      <c r="G84" s="340"/>
      <c r="H84" s="340"/>
      <c r="I84" s="340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  <c r="AF84" s="340"/>
      <c r="AG84" s="340"/>
      <c r="AH84" s="340"/>
      <c r="AI84" s="340"/>
      <c r="AJ84" s="340"/>
      <c r="AK84" s="340"/>
      <c r="AL84" s="340"/>
      <c r="AM84" s="340"/>
      <c r="AN84" s="340"/>
      <c r="AO84" s="340"/>
      <c r="AP84" s="340"/>
      <c r="AQ84" s="340"/>
      <c r="AR84" s="340"/>
      <c r="AS84" s="341"/>
      <c r="AT84" s="59"/>
    </row>
    <row r="85" spans="3:46" s="60" customFormat="1" ht="18" customHeight="1">
      <c r="C85" s="86"/>
      <c r="D85" s="266" t="s">
        <v>49</v>
      </c>
      <c r="E85" s="267"/>
      <c r="F85" s="266" t="s">
        <v>257</v>
      </c>
      <c r="G85" s="267"/>
      <c r="H85" s="267"/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320"/>
      <c r="AD85" s="266" t="s">
        <v>46</v>
      </c>
      <c r="AE85" s="267"/>
      <c r="AF85" s="267"/>
      <c r="AG85" s="320"/>
      <c r="AH85" s="266" t="s">
        <v>7</v>
      </c>
      <c r="AI85" s="267"/>
      <c r="AJ85" s="267"/>
      <c r="AK85" s="267"/>
      <c r="AL85" s="267"/>
      <c r="AM85" s="267"/>
      <c r="AN85" s="267"/>
      <c r="AO85" s="267"/>
      <c r="AP85" s="267"/>
      <c r="AQ85" s="267"/>
      <c r="AR85" s="267"/>
      <c r="AS85" s="320"/>
      <c r="AT85" s="87"/>
    </row>
    <row r="86" spans="3:46" s="54" customFormat="1" ht="18" customHeight="1">
      <c r="C86" s="58"/>
      <c r="D86" s="273" t="s">
        <v>50</v>
      </c>
      <c r="E86" s="274"/>
      <c r="F86" s="273" t="s">
        <v>256</v>
      </c>
      <c r="G86" s="274"/>
      <c r="H86" s="274"/>
      <c r="I86" s="274"/>
      <c r="J86" s="274"/>
      <c r="K86" s="274"/>
      <c r="L86" s="274"/>
      <c r="M86" s="274"/>
      <c r="N86" s="274"/>
      <c r="O86" s="274"/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C86" s="275"/>
      <c r="AD86" s="273" t="s">
        <v>47</v>
      </c>
      <c r="AE86" s="274"/>
      <c r="AF86" s="274"/>
      <c r="AG86" s="275"/>
      <c r="AH86" s="273" t="s">
        <v>48</v>
      </c>
      <c r="AI86" s="274"/>
      <c r="AJ86" s="274"/>
      <c r="AK86" s="274"/>
      <c r="AL86" s="274"/>
      <c r="AM86" s="274"/>
      <c r="AN86" s="274"/>
      <c r="AO86" s="274"/>
      <c r="AP86" s="274"/>
      <c r="AQ86" s="274"/>
      <c r="AR86" s="274"/>
      <c r="AS86" s="275"/>
      <c r="AT86" s="59"/>
    </row>
    <row r="87" spans="3:46" s="61" customFormat="1" ht="24" customHeight="1">
      <c r="C87" s="62"/>
      <c r="D87" s="306" t="str">
        <f ca="1">IF(F87="-","",IF(F87=0,"",1))</f>
        <v/>
      </c>
      <c r="E87" s="308"/>
      <c r="F87" s="312" t="str">
        <f ca="1">$L$17</f>
        <v>-</v>
      </c>
      <c r="G87" s="313"/>
      <c r="H87" s="313"/>
      <c r="I87" s="313"/>
      <c r="J87" s="313"/>
      <c r="K87" s="313"/>
      <c r="L87" s="313"/>
      <c r="M87" s="313"/>
      <c r="N87" s="313"/>
      <c r="O87" s="313"/>
      <c r="P87" s="313"/>
      <c r="Q87" s="313"/>
      <c r="R87" s="313"/>
      <c r="S87" s="313"/>
      <c r="T87" s="313"/>
      <c r="U87" s="313"/>
      <c r="V87" s="313"/>
      <c r="W87" s="313"/>
      <c r="X87" s="313"/>
      <c r="Y87" s="313"/>
      <c r="Z87" s="313"/>
      <c r="AA87" s="313"/>
      <c r="AB87" s="313"/>
      <c r="AC87" s="314"/>
      <c r="AD87" s="306" t="str">
        <f ca="1">$L$18</f>
        <v>-</v>
      </c>
      <c r="AE87" s="307"/>
      <c r="AF87" s="307"/>
      <c r="AG87" s="308"/>
      <c r="AH87" s="312"/>
      <c r="AI87" s="313"/>
      <c r="AJ87" s="313"/>
      <c r="AK87" s="313"/>
      <c r="AL87" s="313"/>
      <c r="AM87" s="313"/>
      <c r="AN87" s="313"/>
      <c r="AO87" s="313"/>
      <c r="AP87" s="313"/>
      <c r="AQ87" s="313"/>
      <c r="AR87" s="313"/>
      <c r="AS87" s="314"/>
      <c r="AT87" s="63"/>
    </row>
    <row r="88" spans="3:46" s="54" customFormat="1" ht="24" customHeight="1">
      <c r="C88" s="58"/>
      <c r="D88" s="309"/>
      <c r="E88" s="311"/>
      <c r="F88" s="309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  <c r="R88" s="310"/>
      <c r="S88" s="310"/>
      <c r="T88" s="310"/>
      <c r="U88" s="310"/>
      <c r="V88" s="310"/>
      <c r="W88" s="310"/>
      <c r="X88" s="310"/>
      <c r="Y88" s="310"/>
      <c r="Z88" s="310"/>
      <c r="AA88" s="310"/>
      <c r="AB88" s="310"/>
      <c r="AC88" s="311"/>
      <c r="AD88" s="309"/>
      <c r="AE88" s="310"/>
      <c r="AF88" s="310"/>
      <c r="AG88" s="311"/>
      <c r="AH88" s="324"/>
      <c r="AI88" s="325"/>
      <c r="AJ88" s="325"/>
      <c r="AK88" s="325"/>
      <c r="AL88" s="325"/>
      <c r="AM88" s="325"/>
      <c r="AN88" s="325"/>
      <c r="AO88" s="325"/>
      <c r="AP88" s="325"/>
      <c r="AQ88" s="325"/>
      <c r="AR88" s="325"/>
      <c r="AS88" s="326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09"/>
      <c r="E90" s="311"/>
      <c r="F90" s="309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1"/>
      <c r="AD90" s="309"/>
      <c r="AE90" s="310"/>
      <c r="AF90" s="310"/>
      <c r="AG90" s="311"/>
      <c r="AH90" s="324"/>
      <c r="AI90" s="325"/>
      <c r="AJ90" s="325"/>
      <c r="AK90" s="325"/>
      <c r="AL90" s="325"/>
      <c r="AM90" s="325"/>
      <c r="AN90" s="325"/>
      <c r="AO90" s="325"/>
      <c r="AP90" s="325"/>
      <c r="AQ90" s="325"/>
      <c r="AR90" s="325"/>
      <c r="AS90" s="326"/>
      <c r="AT90" s="59"/>
    </row>
    <row r="91" spans="3:46" s="54" customFormat="1" ht="24" customHeight="1">
      <c r="C91" s="58"/>
      <c r="D91" s="271"/>
      <c r="E91" s="272"/>
      <c r="F91" s="271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272"/>
      <c r="AD91" s="271"/>
      <c r="AE91" s="364"/>
      <c r="AF91" s="364"/>
      <c r="AG91" s="272"/>
      <c r="AH91" s="390"/>
      <c r="AI91" s="391"/>
      <c r="AJ91" s="391"/>
      <c r="AK91" s="391"/>
      <c r="AL91" s="391"/>
      <c r="AM91" s="391"/>
      <c r="AN91" s="391"/>
      <c r="AO91" s="391"/>
      <c r="AP91" s="391"/>
      <c r="AQ91" s="391"/>
      <c r="AR91" s="391"/>
      <c r="AS91" s="392"/>
      <c r="AT91" s="59"/>
    </row>
    <row r="92" spans="3:46" s="54" customFormat="1" ht="10.199999999999999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95" customHeight="1">
      <c r="C93" s="58"/>
      <c r="D93" s="72" t="s">
        <v>238</v>
      </c>
      <c r="Y93" s="379" t="s">
        <v>54</v>
      </c>
      <c r="Z93" s="380"/>
      <c r="AA93" s="380"/>
      <c r="AB93" s="380"/>
      <c r="AC93" s="380"/>
      <c r="AD93" s="380"/>
      <c r="AE93" s="380"/>
      <c r="AF93" s="380"/>
      <c r="AG93" s="380"/>
      <c r="AH93" s="380"/>
      <c r="AI93" s="380"/>
      <c r="AJ93" s="380"/>
      <c r="AK93" s="380"/>
      <c r="AL93" s="380"/>
      <c r="AM93" s="380"/>
      <c r="AN93" s="380"/>
      <c r="AO93" s="380"/>
      <c r="AP93" s="380"/>
      <c r="AQ93" s="380"/>
      <c r="AR93" s="380"/>
      <c r="AS93" s="381"/>
      <c r="AT93" s="59"/>
    </row>
    <row r="94" spans="3:46" ht="4.95" customHeight="1">
      <c r="C94" s="56"/>
      <c r="S94" s="54"/>
      <c r="Y94" s="273"/>
      <c r="Z94" s="274"/>
      <c r="AA94" s="274"/>
      <c r="AB94" s="274"/>
      <c r="AC94" s="274"/>
      <c r="AD94" s="274"/>
      <c r="AE94" s="274"/>
      <c r="AF94" s="274"/>
      <c r="AG94" s="274"/>
      <c r="AH94" s="274"/>
      <c r="AI94" s="274"/>
      <c r="AJ94" s="274"/>
      <c r="AK94" s="274"/>
      <c r="AL94" s="274"/>
      <c r="AM94" s="274"/>
      <c r="AN94" s="274"/>
      <c r="AO94" s="274"/>
      <c r="AP94" s="274"/>
      <c r="AQ94" s="274"/>
      <c r="AR94" s="274"/>
      <c r="AS94" s="275"/>
      <c r="AT94" s="57"/>
    </row>
    <row r="95" spans="3:46" ht="19.95" customHeight="1">
      <c r="C95" s="56"/>
      <c r="D95" s="111"/>
      <c r="E95" s="54" t="s">
        <v>51</v>
      </c>
      <c r="S95" s="54"/>
      <c r="Y95" s="264" t="s">
        <v>61</v>
      </c>
      <c r="Z95" s="264"/>
      <c r="AA95" s="264"/>
      <c r="AB95" s="264"/>
      <c r="AC95" s="264"/>
      <c r="AD95" s="396" t="s">
        <v>55</v>
      </c>
      <c r="AE95" s="396"/>
      <c r="AF95" s="396"/>
      <c r="AG95" s="396"/>
      <c r="AH95" s="396"/>
      <c r="AI95" s="396"/>
      <c r="AJ95" s="396"/>
      <c r="AK95" s="396"/>
      <c r="AL95" s="266" t="s">
        <v>56</v>
      </c>
      <c r="AM95" s="267"/>
      <c r="AN95" s="267"/>
      <c r="AO95" s="267"/>
      <c r="AP95" s="267"/>
      <c r="AQ95" s="267"/>
      <c r="AR95" s="267"/>
      <c r="AS95" s="320"/>
      <c r="AT95" s="57"/>
    </row>
    <row r="96" spans="3:46" ht="19.95" customHeight="1">
      <c r="C96" s="56"/>
      <c r="D96" s="88"/>
      <c r="E96" s="54" t="s">
        <v>53</v>
      </c>
      <c r="S96" s="54"/>
      <c r="Y96" s="264"/>
      <c r="Z96" s="264"/>
      <c r="AA96" s="264"/>
      <c r="AB96" s="264"/>
      <c r="AC96" s="264"/>
      <c r="AD96" s="259" t="s">
        <v>58</v>
      </c>
      <c r="AE96" s="259"/>
      <c r="AF96" s="259"/>
      <c r="AG96" s="259"/>
      <c r="AH96" s="259"/>
      <c r="AI96" s="259"/>
      <c r="AJ96" s="259"/>
      <c r="AK96" s="259"/>
      <c r="AL96" s="393" t="s">
        <v>57</v>
      </c>
      <c r="AM96" s="394"/>
      <c r="AN96" s="394"/>
      <c r="AO96" s="394"/>
      <c r="AP96" s="394"/>
      <c r="AQ96" s="394"/>
      <c r="AR96" s="394"/>
      <c r="AS96" s="395"/>
      <c r="AT96" s="57"/>
    </row>
    <row r="97" spans="3:46" ht="19.95" customHeight="1">
      <c r="C97" s="56"/>
      <c r="D97" s="111"/>
      <c r="E97" s="54" t="s">
        <v>70</v>
      </c>
      <c r="Y97" s="264"/>
      <c r="Z97" s="264"/>
      <c r="AA97" s="264"/>
      <c r="AB97" s="264"/>
      <c r="AC97" s="264"/>
      <c r="AD97" s="270" t="s">
        <v>60</v>
      </c>
      <c r="AE97" s="270"/>
      <c r="AF97" s="270" t="s">
        <v>59</v>
      </c>
      <c r="AG97" s="270"/>
      <c r="AH97" s="270" t="s">
        <v>7</v>
      </c>
      <c r="AI97" s="270"/>
      <c r="AJ97" s="270"/>
      <c r="AK97" s="270"/>
      <c r="AL97" s="270" t="s">
        <v>60</v>
      </c>
      <c r="AM97" s="270"/>
      <c r="AN97" s="270" t="s">
        <v>59</v>
      </c>
      <c r="AO97" s="270"/>
      <c r="AP97" s="353" t="s">
        <v>7</v>
      </c>
      <c r="AQ97" s="354"/>
      <c r="AR97" s="354"/>
      <c r="AS97" s="355"/>
      <c r="AT97" s="57"/>
    </row>
    <row r="98" spans="3:46" ht="4.95" customHeight="1">
      <c r="C98" s="56"/>
      <c r="D98" s="96"/>
      <c r="E98" s="54"/>
      <c r="Y98" s="278"/>
      <c r="Z98" s="279"/>
      <c r="AA98" s="279"/>
      <c r="AB98" s="279"/>
      <c r="AC98" s="280"/>
      <c r="AD98" s="260"/>
      <c r="AE98" s="261"/>
      <c r="AF98" s="260"/>
      <c r="AG98" s="261"/>
      <c r="AH98" s="260"/>
      <c r="AI98" s="276"/>
      <c r="AJ98" s="276"/>
      <c r="AK98" s="261"/>
      <c r="AL98" s="260"/>
      <c r="AM98" s="261"/>
      <c r="AN98" s="260"/>
      <c r="AO98" s="261"/>
      <c r="AP98" s="260"/>
      <c r="AQ98" s="276"/>
      <c r="AR98" s="276"/>
      <c r="AS98" s="261"/>
      <c r="AT98" s="57"/>
    </row>
    <row r="99" spans="3:46" ht="19.95" customHeight="1">
      <c r="C99" s="56"/>
      <c r="D99" s="111"/>
      <c r="E99" s="54" t="s">
        <v>71</v>
      </c>
      <c r="Y99" s="281"/>
      <c r="Z99" s="282"/>
      <c r="AA99" s="282"/>
      <c r="AB99" s="282"/>
      <c r="AC99" s="283"/>
      <c r="AD99" s="262"/>
      <c r="AE99" s="263"/>
      <c r="AF99" s="262"/>
      <c r="AG99" s="263"/>
      <c r="AH99" s="262"/>
      <c r="AI99" s="277"/>
      <c r="AJ99" s="277"/>
      <c r="AK99" s="263"/>
      <c r="AL99" s="262"/>
      <c r="AM99" s="263"/>
      <c r="AN99" s="262"/>
      <c r="AO99" s="263"/>
      <c r="AP99" s="262"/>
      <c r="AQ99" s="277"/>
      <c r="AR99" s="277"/>
      <c r="AS99" s="263"/>
      <c r="AT99" s="57"/>
    </row>
    <row r="100" spans="3:46" ht="19.95" customHeight="1">
      <c r="C100" s="56"/>
      <c r="D100" s="88"/>
      <c r="E100" s="257" t="s">
        <v>64</v>
      </c>
      <c r="F100" s="257"/>
      <c r="G100" s="315"/>
      <c r="H100" s="315"/>
      <c r="I100" s="315"/>
      <c r="J100" s="315"/>
      <c r="K100" s="315"/>
      <c r="L100" s="315"/>
      <c r="M100" s="315"/>
      <c r="N100" s="315"/>
      <c r="O100" s="315"/>
      <c r="P100" s="315"/>
      <c r="Q100" s="315"/>
      <c r="R100" s="315"/>
      <c r="S100" s="315"/>
      <c r="T100" s="315"/>
      <c r="U100" s="315"/>
      <c r="V100" s="315"/>
      <c r="W100" s="315"/>
      <c r="Y100" s="265"/>
      <c r="Z100" s="265"/>
      <c r="AA100" s="265"/>
      <c r="AB100" s="265"/>
      <c r="AC100" s="265"/>
      <c r="AD100" s="265"/>
      <c r="AE100" s="265"/>
      <c r="AF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383"/>
      <c r="AQ100" s="384"/>
      <c r="AR100" s="384"/>
      <c r="AS100" s="385"/>
      <c r="AT100" s="57"/>
    </row>
    <row r="101" spans="3:46" ht="19.95" customHeight="1">
      <c r="C101" s="56"/>
      <c r="D101" s="112"/>
      <c r="E101" s="54" t="s">
        <v>52</v>
      </c>
      <c r="Y101" s="265"/>
      <c r="Z101" s="265"/>
      <c r="AA101" s="265"/>
      <c r="AB101" s="265"/>
      <c r="AC101" s="265"/>
      <c r="AD101" s="265"/>
      <c r="AE101" s="265"/>
      <c r="AF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383"/>
      <c r="AQ101" s="384"/>
      <c r="AR101" s="384"/>
      <c r="AS101" s="385"/>
      <c r="AT101" s="57"/>
    </row>
    <row r="102" spans="3:46" ht="19.95" customHeight="1">
      <c r="C102" s="56"/>
      <c r="E102" s="72" t="s">
        <v>68</v>
      </c>
      <c r="V102" s="73"/>
      <c r="W102" s="73"/>
      <c r="X102" s="73"/>
      <c r="Y102" s="265"/>
      <c r="Z102" s="265"/>
      <c r="AA102" s="265"/>
      <c r="AB102" s="265"/>
      <c r="AC102" s="265"/>
      <c r="AD102" s="265"/>
      <c r="AE102" s="265"/>
      <c r="AF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383"/>
      <c r="AQ102" s="384"/>
      <c r="AR102" s="384"/>
      <c r="AS102" s="385"/>
      <c r="AT102" s="57"/>
    </row>
    <row r="103" spans="3:46" s="54" customFormat="1" ht="19.95" customHeight="1">
      <c r="C103" s="58"/>
      <c r="E103" s="257" t="s">
        <v>64</v>
      </c>
      <c r="F103" s="257"/>
      <c r="G103" s="315"/>
      <c r="H103" s="315"/>
      <c r="I103" s="315"/>
      <c r="J103" s="315"/>
      <c r="K103" s="315"/>
      <c r="L103" s="315"/>
      <c r="M103" s="315"/>
      <c r="N103" s="315"/>
      <c r="O103" s="315"/>
      <c r="P103" s="315"/>
      <c r="Q103" s="315"/>
      <c r="R103" s="315"/>
      <c r="S103" s="315"/>
      <c r="T103" s="315"/>
      <c r="U103" s="315"/>
      <c r="V103" s="315"/>
      <c r="W103" s="315"/>
      <c r="Y103" s="382"/>
      <c r="Z103" s="382"/>
      <c r="AA103" s="382"/>
      <c r="AB103" s="382"/>
      <c r="AC103" s="382"/>
      <c r="AD103" s="382"/>
      <c r="AE103" s="382"/>
      <c r="AF103" s="382"/>
      <c r="AG103" s="382"/>
      <c r="AH103" s="382"/>
      <c r="AI103" s="382"/>
      <c r="AJ103" s="382"/>
      <c r="AK103" s="382"/>
      <c r="AL103" s="382"/>
      <c r="AM103" s="382"/>
      <c r="AN103" s="382"/>
      <c r="AO103" s="382"/>
      <c r="AP103" s="387"/>
      <c r="AQ103" s="388"/>
      <c r="AR103" s="388"/>
      <c r="AS103" s="389"/>
      <c r="AT103" s="59"/>
    </row>
    <row r="104" spans="3:46" s="54" customFormat="1" ht="10.199999999999999" customHeight="1">
      <c r="C104" s="58"/>
      <c r="AS104" s="95"/>
      <c r="AT104" s="59"/>
    </row>
    <row r="105" spans="3:46" s="54" customFormat="1" ht="25.2" customHeight="1">
      <c r="C105" s="58"/>
      <c r="D105" s="353" t="s">
        <v>94</v>
      </c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5"/>
      <c r="T105" s="353" t="s">
        <v>37</v>
      </c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5"/>
      <c r="AJ105" s="353" t="s">
        <v>96</v>
      </c>
      <c r="AK105" s="354"/>
      <c r="AL105" s="354"/>
      <c r="AM105" s="354"/>
      <c r="AN105" s="354"/>
      <c r="AO105" s="354"/>
      <c r="AP105" s="354"/>
      <c r="AQ105" s="354"/>
      <c r="AR105" s="354"/>
      <c r="AS105" s="355"/>
      <c r="AT105" s="59"/>
    </row>
    <row r="106" spans="3:46" s="54" customFormat="1" ht="4.95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2" customHeight="1" thickTop="1" thickBot="1">
      <c r="C107" s="58"/>
      <c r="D107" s="374" t="s">
        <v>86</v>
      </c>
      <c r="E107" s="362"/>
      <c r="F107" s="362"/>
      <c r="G107" s="362"/>
      <c r="H107" s="363">
        <f ca="1">$L$24</f>
        <v>46179</v>
      </c>
      <c r="I107" s="357"/>
      <c r="J107" s="357"/>
      <c r="K107" s="357"/>
      <c r="L107" s="362" t="s">
        <v>88</v>
      </c>
      <c r="M107" s="362"/>
      <c r="N107" s="356">
        <f ca="1">$L$25</f>
        <v>0.41666666666666669</v>
      </c>
      <c r="O107" s="357"/>
      <c r="P107" s="357"/>
      <c r="Q107" s="357"/>
      <c r="R107" s="357"/>
      <c r="T107" s="80"/>
      <c r="U107" s="54" t="s">
        <v>38</v>
      </c>
      <c r="AI107" s="81"/>
      <c r="AJ107" s="80"/>
      <c r="AM107" s="84" t="s">
        <v>41</v>
      </c>
      <c r="AN107" s="360" t="s">
        <v>43</v>
      </c>
      <c r="AO107" s="361">
        <v>100</v>
      </c>
      <c r="AP107" s="361"/>
      <c r="AS107" s="81"/>
      <c r="AT107" s="59"/>
    </row>
    <row r="108" spans="3:46" s="54" customFormat="1" ht="22.2" customHeight="1" thickTop="1" thickBot="1">
      <c r="C108" s="58"/>
      <c r="D108" s="374" t="s">
        <v>87</v>
      </c>
      <c r="E108" s="362"/>
      <c r="F108" s="362"/>
      <c r="G108" s="362"/>
      <c r="H108" s="363">
        <f ca="1">$L$26</f>
        <v>46179</v>
      </c>
      <c r="I108" s="357"/>
      <c r="J108" s="357"/>
      <c r="K108" s="357"/>
      <c r="L108" s="362" t="s">
        <v>88</v>
      </c>
      <c r="M108" s="362"/>
      <c r="N108" s="358">
        <f ca="1">$L$27</f>
        <v>0.43055555555555558</v>
      </c>
      <c r="O108" s="359"/>
      <c r="P108" s="359"/>
      <c r="Q108" s="357"/>
      <c r="R108" s="357"/>
      <c r="T108" s="80"/>
      <c r="U108" s="54" t="s">
        <v>39</v>
      </c>
      <c r="AI108" s="81"/>
      <c r="AJ108" s="80"/>
      <c r="AM108" s="71" t="s">
        <v>42</v>
      </c>
      <c r="AN108" s="360"/>
      <c r="AO108" s="361"/>
      <c r="AP108" s="361"/>
      <c r="AS108" s="81"/>
      <c r="AT108" s="59"/>
    </row>
    <row r="109" spans="3:46" s="54" customFormat="1" ht="22.2" customHeight="1" thickTop="1" thickBot="1">
      <c r="C109" s="58"/>
      <c r="D109" s="374" t="s">
        <v>89</v>
      </c>
      <c r="E109" s="362"/>
      <c r="F109" s="362"/>
      <c r="G109" s="362"/>
      <c r="H109" s="362"/>
      <c r="I109" s="362"/>
      <c r="J109" s="362"/>
      <c r="K109" s="357">
        <f ca="1">ConvertMinute</f>
        <v>20</v>
      </c>
      <c r="L109" s="357"/>
      <c r="M109" s="357"/>
      <c r="N109" s="357"/>
      <c r="O109" s="357"/>
      <c r="P109" s="357"/>
      <c r="Q109" s="361" t="s">
        <v>95</v>
      </c>
      <c r="R109" s="361"/>
      <c r="S109" s="375"/>
      <c r="T109" s="80"/>
      <c r="U109" s="54" t="s">
        <v>40</v>
      </c>
      <c r="AI109" s="81"/>
      <c r="AJ109" s="80"/>
      <c r="AL109" s="85" t="s">
        <v>44</v>
      </c>
      <c r="AM109" s="378">
        <f ca="1">IF(K109=0,"",K109/1440)</f>
        <v>1.3888888888888888E-2</v>
      </c>
      <c r="AN109" s="378"/>
      <c r="AO109" s="378"/>
      <c r="AP109" s="378"/>
      <c r="AQ109" s="71" t="s">
        <v>45</v>
      </c>
      <c r="AS109" s="81"/>
      <c r="AT109" s="59"/>
    </row>
    <row r="110" spans="3:46" s="54" customFormat="1" ht="4.95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5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5" t="s">
        <v>97</v>
      </c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7"/>
      <c r="AT111" s="59"/>
    </row>
    <row r="112" spans="3:46" s="54" customFormat="1" ht="25.2" customHeight="1" thickTop="1" thickBot="1">
      <c r="C112" s="58"/>
      <c r="D112" s="374" t="s">
        <v>90</v>
      </c>
      <c r="E112" s="362"/>
      <c r="F112" s="362"/>
      <c r="G112" s="376"/>
      <c r="H112" s="376"/>
      <c r="I112" s="376"/>
      <c r="J112" s="376"/>
      <c r="K112" s="376"/>
      <c r="L112" s="376"/>
      <c r="M112" s="376"/>
      <c r="N112" s="376"/>
      <c r="O112" s="376"/>
      <c r="P112" s="361" t="s">
        <v>92</v>
      </c>
      <c r="Q112" s="361"/>
      <c r="R112" s="361"/>
      <c r="S112" s="375"/>
      <c r="T112" s="368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70"/>
      <c r="AT112" s="59"/>
    </row>
    <row r="113" spans="3:46" s="54" customFormat="1" ht="25.2" customHeight="1" thickTop="1" thickBot="1">
      <c r="C113" s="58"/>
      <c r="D113" s="374" t="s">
        <v>91</v>
      </c>
      <c r="E113" s="362"/>
      <c r="F113" s="362"/>
      <c r="G113" s="377"/>
      <c r="H113" s="376"/>
      <c r="I113" s="376"/>
      <c r="J113" s="376"/>
      <c r="K113" s="376"/>
      <c r="L113" s="376"/>
      <c r="M113" s="376"/>
      <c r="N113" s="376"/>
      <c r="O113" s="376"/>
      <c r="T113" s="368"/>
      <c r="U113" s="369"/>
      <c r="V113" s="369"/>
      <c r="W113" s="369"/>
      <c r="X113" s="369"/>
      <c r="Y113" s="369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69"/>
      <c r="AL113" s="369"/>
      <c r="AM113" s="369"/>
      <c r="AN113" s="369"/>
      <c r="AO113" s="369"/>
      <c r="AP113" s="369"/>
      <c r="AQ113" s="369"/>
      <c r="AR113" s="369"/>
      <c r="AS113" s="370"/>
      <c r="AT113" s="59"/>
    </row>
    <row r="114" spans="3:46" s="54" customFormat="1" ht="4.95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1"/>
      <c r="U114" s="372"/>
      <c r="V114" s="372"/>
      <c r="W114" s="372"/>
      <c r="X114" s="372"/>
      <c r="Y114" s="372"/>
      <c r="Z114" s="372"/>
      <c r="AA114" s="372"/>
      <c r="AB114" s="372"/>
      <c r="AC114" s="372"/>
      <c r="AD114" s="372"/>
      <c r="AE114" s="372"/>
      <c r="AF114" s="372"/>
      <c r="AG114" s="372"/>
      <c r="AH114" s="372"/>
      <c r="AI114" s="372"/>
      <c r="AJ114" s="372"/>
      <c r="AK114" s="372"/>
      <c r="AL114" s="372"/>
      <c r="AM114" s="372"/>
      <c r="AN114" s="372"/>
      <c r="AO114" s="372"/>
      <c r="AP114" s="372"/>
      <c r="AQ114" s="372"/>
      <c r="AR114" s="372"/>
      <c r="AS114" s="373"/>
      <c r="AT114" s="59"/>
    </row>
    <row r="115" spans="3:46" s="54" customFormat="1" ht="7.95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5" customHeight="1"/>
    <row r="118" spans="3:46" ht="19.95" customHeight="1">
      <c r="D118" s="104" t="s">
        <v>129</v>
      </c>
      <c r="E118" s="105"/>
      <c r="F118" s="105"/>
      <c r="G118" s="105"/>
      <c r="H118" s="105"/>
      <c r="I118" s="105"/>
    </row>
    <row r="119" spans="3:46" ht="19.95" customHeight="1">
      <c r="D119" s="106" t="s">
        <v>130</v>
      </c>
      <c r="E119" s="105"/>
      <c r="F119" s="105"/>
      <c r="G119" s="105"/>
      <c r="H119" s="105"/>
      <c r="I119" s="107">
        <f ca="1">N108-N107</f>
        <v>1.3888888888888895E-2</v>
      </c>
    </row>
    <row r="120" spans="3:46" ht="19.95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95" customHeight="1">
      <c r="D121" s="108" t="s">
        <v>133</v>
      </c>
      <c r="E121" s="105"/>
      <c r="F121" s="105"/>
      <c r="G121" s="105"/>
      <c r="H121" s="105"/>
      <c r="I121" s="109">
        <f ca="1">MINUTE(I119)</f>
        <v>20</v>
      </c>
    </row>
    <row r="122" spans="3:46" ht="19.95" customHeight="1">
      <c r="D122" s="108" t="s">
        <v>131</v>
      </c>
      <c r="E122" s="105"/>
      <c r="F122" s="105"/>
      <c r="G122" s="105"/>
      <c r="H122" s="105"/>
      <c r="I122" s="110">
        <f ca="1">(I120*60)+I121</f>
        <v>20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4140625" defaultRowHeight="24"/>
  <cols>
    <col min="1" max="1" width="1.44140625" style="156" customWidth="1"/>
    <col min="2" max="2" width="0.44140625" style="156" customWidth="1"/>
    <col min="3" max="3" width="13.44140625" style="156" customWidth="1"/>
    <col min="4" max="4" width="32.44140625" style="156" customWidth="1"/>
    <col min="5" max="9" width="23.44140625" style="156" customWidth="1"/>
    <col min="10" max="10" width="22.44140625" style="156" customWidth="1"/>
    <col min="11" max="11" width="28.44140625" style="156" customWidth="1"/>
    <col min="12" max="12" width="0.44140625" style="156" customWidth="1"/>
    <col min="13" max="16384" width="9.44140625" style="156"/>
  </cols>
  <sheetData>
    <row r="1" spans="3:11" ht="10.199999999999999" customHeight="1">
      <c r="D1" s="156" t="s">
        <v>291</v>
      </c>
    </row>
    <row r="2" spans="3:11" ht="4.95" customHeight="1"/>
    <row r="3" spans="3:11">
      <c r="C3" s="157"/>
      <c r="D3" s="158"/>
      <c r="E3" s="397" t="s">
        <v>292</v>
      </c>
      <c r="F3" s="398"/>
      <c r="G3" s="398"/>
      <c r="H3" s="398"/>
      <c r="I3" s="399"/>
      <c r="J3" s="159" t="s">
        <v>293</v>
      </c>
      <c r="K3" s="160" t="s">
        <v>294</v>
      </c>
    </row>
    <row r="4" spans="3:11">
      <c r="C4" s="161"/>
      <c r="D4" s="162"/>
      <c r="E4" s="400"/>
      <c r="F4" s="401"/>
      <c r="G4" s="401"/>
      <c r="H4" s="401"/>
      <c r="I4" s="402"/>
      <c r="J4" s="163" t="s">
        <v>295</v>
      </c>
      <c r="K4" s="164" t="s">
        <v>296</v>
      </c>
    </row>
    <row r="5" spans="3:11" ht="4.95" customHeight="1"/>
    <row r="6" spans="3:11" s="168" customFormat="1" ht="19.95" customHeight="1">
      <c r="C6" s="403" t="s">
        <v>297</v>
      </c>
      <c r="D6" s="404"/>
      <c r="E6" s="165" t="s">
        <v>298</v>
      </c>
      <c r="F6" s="166" t="s">
        <v>299</v>
      </c>
      <c r="G6" s="166" t="s">
        <v>300</v>
      </c>
      <c r="H6" s="166" t="s">
        <v>301</v>
      </c>
      <c r="I6" s="167" t="s">
        <v>302</v>
      </c>
      <c r="J6" s="166" t="s">
        <v>303</v>
      </c>
      <c r="K6" s="165" t="s">
        <v>7</v>
      </c>
    </row>
    <row r="7" spans="3:11" s="172" customFormat="1" ht="19.95" customHeight="1">
      <c r="C7" s="405" t="s">
        <v>304</v>
      </c>
      <c r="D7" s="406"/>
      <c r="E7" s="169" t="s">
        <v>305</v>
      </c>
      <c r="F7" s="170" t="s">
        <v>306</v>
      </c>
      <c r="G7" s="170" t="s">
        <v>307</v>
      </c>
      <c r="H7" s="170" t="s">
        <v>308</v>
      </c>
      <c r="I7" s="171" t="s">
        <v>309</v>
      </c>
      <c r="J7" s="170" t="s">
        <v>310</v>
      </c>
      <c r="K7" s="169" t="s">
        <v>48</v>
      </c>
    </row>
    <row r="8" spans="3:11">
      <c r="C8" s="173" t="s">
        <v>311</v>
      </c>
      <c r="D8" s="174"/>
      <c r="E8" s="175" t="s">
        <v>312</v>
      </c>
      <c r="F8" s="176"/>
      <c r="G8" s="176"/>
      <c r="H8" s="176"/>
      <c r="I8" s="177"/>
      <c r="J8" s="178" t="s">
        <v>313</v>
      </c>
      <c r="K8" s="179" t="s">
        <v>314</v>
      </c>
    </row>
    <row r="9" spans="3:11">
      <c r="C9" s="180" t="s">
        <v>315</v>
      </c>
      <c r="D9" s="181"/>
      <c r="F9" s="182"/>
      <c r="G9" s="182"/>
      <c r="H9" s="182"/>
      <c r="J9" s="178"/>
      <c r="K9" s="181" t="s">
        <v>316</v>
      </c>
    </row>
    <row r="10" spans="3:11">
      <c r="C10" s="183" t="s">
        <v>317</v>
      </c>
      <c r="D10" s="184"/>
      <c r="F10" s="182"/>
      <c r="G10" s="182"/>
      <c r="H10" s="182"/>
      <c r="J10" s="178"/>
      <c r="K10" s="181"/>
    </row>
    <row r="11" spans="3:11">
      <c r="C11" s="185" t="s">
        <v>318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319</v>
      </c>
      <c r="D12" s="184"/>
      <c r="F12" s="182"/>
      <c r="G12" s="182"/>
      <c r="H12" s="182"/>
      <c r="J12" s="178" t="s">
        <v>320</v>
      </c>
      <c r="K12" s="181" t="s">
        <v>321</v>
      </c>
    </row>
    <row r="13" spans="3:11">
      <c r="C13" s="191" t="s">
        <v>322</v>
      </c>
      <c r="D13" s="184"/>
      <c r="F13" s="182"/>
      <c r="G13" s="182"/>
      <c r="H13" s="182"/>
      <c r="J13" s="178" t="s">
        <v>323</v>
      </c>
      <c r="K13" s="181" t="s">
        <v>324</v>
      </c>
    </row>
    <row r="14" spans="3:11">
      <c r="C14" s="180" t="s">
        <v>325</v>
      </c>
      <c r="D14" s="192"/>
      <c r="F14" s="182"/>
      <c r="G14" s="182"/>
      <c r="H14" s="182"/>
      <c r="J14" s="178" t="s">
        <v>313</v>
      </c>
      <c r="K14" s="181" t="s">
        <v>326</v>
      </c>
    </row>
    <row r="15" spans="3:11">
      <c r="C15" s="183" t="s">
        <v>327</v>
      </c>
      <c r="D15" s="181"/>
      <c r="F15" s="182"/>
      <c r="G15" s="182"/>
      <c r="H15" s="182"/>
      <c r="J15" s="178" t="s">
        <v>328</v>
      </c>
      <c r="K15" s="181" t="s">
        <v>329</v>
      </c>
    </row>
    <row r="16" spans="3:11">
      <c r="C16" s="180" t="s">
        <v>330</v>
      </c>
      <c r="D16" s="181"/>
      <c r="F16" s="182"/>
      <c r="G16" s="182"/>
      <c r="H16" s="182"/>
      <c r="J16" s="178" t="s">
        <v>331</v>
      </c>
      <c r="K16" s="181" t="s">
        <v>332</v>
      </c>
    </row>
    <row r="17" spans="3:11">
      <c r="C17" s="180" t="s">
        <v>333</v>
      </c>
      <c r="D17" s="181"/>
      <c r="F17" s="182"/>
      <c r="G17" s="182"/>
      <c r="H17" s="182"/>
      <c r="J17" s="178"/>
      <c r="K17" s="181" t="s">
        <v>334</v>
      </c>
    </row>
    <row r="18" spans="3:11">
      <c r="C18" s="180" t="s">
        <v>335</v>
      </c>
      <c r="D18" s="181"/>
      <c r="F18" s="182"/>
      <c r="G18" s="182"/>
      <c r="H18" s="182"/>
      <c r="J18" s="178"/>
      <c r="K18" s="181" t="s">
        <v>336</v>
      </c>
    </row>
    <row r="19" spans="3:11">
      <c r="C19" s="180" t="s">
        <v>337</v>
      </c>
      <c r="D19" s="181"/>
      <c r="F19" s="182"/>
      <c r="G19" s="182"/>
      <c r="H19" s="182"/>
      <c r="J19" s="178"/>
      <c r="K19" s="181" t="s">
        <v>338</v>
      </c>
    </row>
    <row r="20" spans="3:11">
      <c r="C20" s="180" t="s">
        <v>339</v>
      </c>
      <c r="D20" s="181"/>
      <c r="F20" s="182"/>
      <c r="G20" s="182"/>
      <c r="H20" s="182"/>
      <c r="J20" s="178"/>
      <c r="K20" s="181" t="s">
        <v>340</v>
      </c>
    </row>
    <row r="21" spans="3:11">
      <c r="C21" s="180" t="s">
        <v>341</v>
      </c>
      <c r="D21" s="181"/>
      <c r="F21" s="182"/>
      <c r="G21" s="182"/>
      <c r="H21" s="182"/>
      <c r="J21" s="178"/>
      <c r="K21" s="181"/>
    </row>
    <row r="22" spans="3:11">
      <c r="C22" s="180" t="s">
        <v>342</v>
      </c>
      <c r="D22" s="181"/>
      <c r="F22" s="182"/>
      <c r="G22" s="182"/>
      <c r="H22" s="182"/>
      <c r="J22" s="178"/>
      <c r="K22" s="181"/>
    </row>
    <row r="23" spans="3:11">
      <c r="C23" s="180" t="s">
        <v>343</v>
      </c>
      <c r="D23" s="181"/>
      <c r="F23" s="182"/>
      <c r="G23" s="182"/>
      <c r="H23" s="182"/>
      <c r="J23" s="178"/>
      <c r="K23" s="181"/>
    </row>
    <row r="24" spans="3:11">
      <c r="C24" s="180" t="s">
        <v>344</v>
      </c>
      <c r="D24" s="181"/>
      <c r="F24" s="182"/>
      <c r="G24" s="182"/>
      <c r="H24" s="182"/>
      <c r="J24" s="178"/>
      <c r="K24" s="181"/>
    </row>
    <row r="25" spans="3:11">
      <c r="C25" s="180" t="s">
        <v>345</v>
      </c>
      <c r="D25" s="181"/>
      <c r="F25" s="182"/>
      <c r="G25" s="182"/>
      <c r="H25" s="182"/>
      <c r="J25" s="178"/>
      <c r="K25" s="181"/>
    </row>
    <row r="26" spans="3:11">
      <c r="C26" s="180" t="s">
        <v>346</v>
      </c>
      <c r="D26" s="181"/>
      <c r="F26" s="182"/>
      <c r="G26" s="182"/>
      <c r="H26" s="182"/>
      <c r="J26" s="178"/>
      <c r="K26" s="181"/>
    </row>
    <row r="27" spans="3:11">
      <c r="C27" s="180" t="s">
        <v>347</v>
      </c>
      <c r="D27" s="181"/>
      <c r="F27" s="182"/>
      <c r="G27" s="182"/>
      <c r="H27" s="182"/>
      <c r="J27" s="178"/>
      <c r="K27" s="181"/>
    </row>
    <row r="28" spans="3:11">
      <c r="C28" s="180" t="s">
        <v>348</v>
      </c>
      <c r="D28" s="181"/>
      <c r="F28" s="182"/>
      <c r="G28" s="182"/>
      <c r="H28" s="182"/>
      <c r="J28" s="178"/>
      <c r="K28" s="181"/>
    </row>
    <row r="29" spans="3:11">
      <c r="C29" s="180" t="s">
        <v>349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350</v>
      </c>
      <c r="K33" s="179"/>
    </row>
    <row r="34" spans="3:11">
      <c r="C34" s="180"/>
      <c r="D34" s="181"/>
      <c r="F34" s="182"/>
      <c r="G34" s="182"/>
      <c r="H34" s="182"/>
      <c r="J34" s="180" t="s">
        <v>351</v>
      </c>
      <c r="K34" s="181"/>
    </row>
    <row r="35" spans="3:11">
      <c r="C35" s="180"/>
      <c r="D35" s="181"/>
      <c r="F35" s="182"/>
      <c r="G35" s="182"/>
      <c r="H35" s="182"/>
      <c r="J35" s="180" t="s">
        <v>352</v>
      </c>
      <c r="K35" s="181"/>
    </row>
    <row r="36" spans="3:11">
      <c r="C36" s="180"/>
      <c r="D36" s="181"/>
      <c r="F36" s="193" t="s">
        <v>353</v>
      </c>
      <c r="G36" s="182"/>
      <c r="H36" s="182"/>
      <c r="J36" s="180" t="s">
        <v>354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355</v>
      </c>
      <c r="K37" s="195"/>
    </row>
    <row r="38" spans="3:11" ht="4.95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5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M9" sqref="M9"/>
    </sheetView>
  </sheetViews>
  <sheetFormatPr defaultColWidth="9.44140625" defaultRowHeight="19.95" customHeight="1"/>
  <cols>
    <col min="1" max="1" width="20.44140625" style="114" customWidth="1"/>
    <col min="2" max="2" width="15.44140625" style="115" bestFit="1" customWidth="1"/>
    <col min="3" max="3" width="30.44140625" style="114" customWidth="1"/>
    <col min="4" max="4" width="12.44140625" style="114" customWidth="1"/>
    <col min="5" max="5" width="16.44140625" style="114" customWidth="1"/>
    <col min="6" max="6" width="22.44140625" style="114" customWidth="1"/>
    <col min="7" max="7" width="14.44140625" style="114" customWidth="1"/>
    <col min="8" max="8" width="24.44140625" style="141" customWidth="1"/>
    <col min="9" max="9" width="18" style="141" bestFit="1" customWidth="1"/>
    <col min="10" max="10" width="28.44140625" style="141" customWidth="1"/>
    <col min="11" max="11" width="12.44140625" style="141" customWidth="1"/>
    <col min="12" max="12" width="24.44140625" style="142" customWidth="1"/>
    <col min="13" max="13" width="24.44140625" style="143" customWidth="1"/>
    <col min="14" max="16384" width="9.44140625" style="114"/>
  </cols>
  <sheetData>
    <row r="1" spans="1:13" s="113" customFormat="1" ht="19.95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170</v>
      </c>
      <c r="I1" s="113" t="s">
        <v>234</v>
      </c>
      <c r="J1" s="113" t="s">
        <v>235</v>
      </c>
      <c r="K1" s="113" t="s">
        <v>236</v>
      </c>
      <c r="L1" s="122" t="s">
        <v>128</v>
      </c>
      <c r="M1" s="121" t="s">
        <v>127</v>
      </c>
    </row>
    <row r="2" spans="1:13" ht="19.95" customHeight="1">
      <c r="A2" s="114" t="s">
        <v>100</v>
      </c>
      <c r="B2" s="124" t="s">
        <v>108</v>
      </c>
      <c r="C2" s="114" t="s">
        <v>177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171</v>
      </c>
      <c r="I2" s="141" t="s">
        <v>287</v>
      </c>
      <c r="J2" s="141" t="s">
        <v>201</v>
      </c>
      <c r="K2" s="141" t="s">
        <v>206</v>
      </c>
      <c r="L2" s="142" t="s">
        <v>230</v>
      </c>
    </row>
    <row r="3" spans="1:13" ht="19.95" customHeight="1">
      <c r="A3" s="114" t="s">
        <v>225</v>
      </c>
      <c r="B3" s="124" t="s">
        <v>109</v>
      </c>
      <c r="C3" s="114" t="s">
        <v>178</v>
      </c>
      <c r="D3" s="114" t="s">
        <v>362</v>
      </c>
      <c r="E3" s="114" t="s">
        <v>141</v>
      </c>
      <c r="F3" s="114" t="s">
        <v>144</v>
      </c>
      <c r="G3" s="114" t="s">
        <v>155</v>
      </c>
      <c r="H3" s="141" t="s">
        <v>172</v>
      </c>
      <c r="I3" s="141" t="s">
        <v>202</v>
      </c>
      <c r="J3" s="141" t="s">
        <v>203</v>
      </c>
      <c r="K3" s="141" t="s">
        <v>237</v>
      </c>
      <c r="L3" s="142" t="s">
        <v>162</v>
      </c>
      <c r="M3" s="143" t="s">
        <v>226</v>
      </c>
    </row>
    <row r="4" spans="1:13" ht="19.95" customHeight="1">
      <c r="A4" s="114" t="s">
        <v>101</v>
      </c>
      <c r="B4" s="124" t="s">
        <v>110</v>
      </c>
      <c r="C4" s="114" t="s">
        <v>179</v>
      </c>
      <c r="D4" s="114" t="s">
        <v>138</v>
      </c>
      <c r="E4" s="114" t="s">
        <v>142</v>
      </c>
      <c r="F4" s="114" t="s">
        <v>287</v>
      </c>
      <c r="G4" s="114" t="s">
        <v>153</v>
      </c>
      <c r="H4" s="141" t="s">
        <v>173</v>
      </c>
      <c r="L4" s="142" t="s">
        <v>163</v>
      </c>
      <c r="M4" s="143" t="s">
        <v>167</v>
      </c>
    </row>
    <row r="5" spans="1:13" ht="19.95" customHeight="1">
      <c r="A5" s="114" t="s">
        <v>102</v>
      </c>
      <c r="B5" s="124" t="s">
        <v>111</v>
      </c>
      <c r="C5" s="114" t="s">
        <v>180</v>
      </c>
      <c r="D5" s="114" t="s">
        <v>139</v>
      </c>
      <c r="E5" s="114" t="s">
        <v>375</v>
      </c>
      <c r="G5" s="114" t="s">
        <v>154</v>
      </c>
      <c r="H5" s="141" t="s">
        <v>174</v>
      </c>
      <c r="L5" s="142" t="s">
        <v>80</v>
      </c>
      <c r="M5" s="143" t="s">
        <v>159</v>
      </c>
    </row>
    <row r="6" spans="1:13" ht="19.95" customHeight="1">
      <c r="A6" s="114" t="s">
        <v>103</v>
      </c>
      <c r="B6" s="124" t="s">
        <v>112</v>
      </c>
      <c r="C6" s="114" t="s">
        <v>181</v>
      </c>
      <c r="H6" s="141" t="s">
        <v>175</v>
      </c>
      <c r="L6" s="142" t="s">
        <v>805</v>
      </c>
      <c r="M6" s="143" t="s">
        <v>160</v>
      </c>
    </row>
    <row r="7" spans="1:13" ht="19.95" customHeight="1">
      <c r="A7" s="114" t="s">
        <v>123</v>
      </c>
      <c r="B7" s="124" t="s">
        <v>115</v>
      </c>
      <c r="C7" s="114" t="s">
        <v>182</v>
      </c>
      <c r="H7" s="141" t="s">
        <v>176</v>
      </c>
      <c r="M7" s="143" t="s">
        <v>166</v>
      </c>
    </row>
    <row r="8" spans="1:13" ht="19.95" customHeight="1">
      <c r="A8" s="114" t="s">
        <v>227</v>
      </c>
      <c r="B8" s="124" t="s">
        <v>18</v>
      </c>
      <c r="C8" s="114" t="s">
        <v>183</v>
      </c>
      <c r="M8" s="143" t="s">
        <v>824</v>
      </c>
    </row>
    <row r="9" spans="1:13" ht="19.95" customHeight="1">
      <c r="A9" s="114" t="s">
        <v>228</v>
      </c>
      <c r="B9" s="124" t="s">
        <v>116</v>
      </c>
      <c r="C9" s="114" t="s">
        <v>184</v>
      </c>
      <c r="M9" s="143" t="s">
        <v>164</v>
      </c>
    </row>
    <row r="10" spans="1:13" ht="19.95" customHeight="1">
      <c r="A10" s="114" t="s">
        <v>124</v>
      </c>
      <c r="B10" s="124" t="s">
        <v>117</v>
      </c>
      <c r="C10" s="114" t="s">
        <v>185</v>
      </c>
      <c r="M10" s="143" t="s">
        <v>165</v>
      </c>
    </row>
    <row r="11" spans="1:13" ht="19.95" customHeight="1">
      <c r="A11" s="114" t="s">
        <v>125</v>
      </c>
      <c r="B11" s="124" t="s">
        <v>118</v>
      </c>
      <c r="C11" s="114" t="s">
        <v>186</v>
      </c>
      <c r="M11" s="143" t="s">
        <v>161</v>
      </c>
    </row>
    <row r="12" spans="1:13" ht="19.95" customHeight="1">
      <c r="A12" s="114" t="s">
        <v>229</v>
      </c>
      <c r="B12" s="124" t="s">
        <v>119</v>
      </c>
      <c r="C12" s="114" t="s">
        <v>187</v>
      </c>
      <c r="M12" s="143" t="s">
        <v>751</v>
      </c>
    </row>
    <row r="13" spans="1:13" ht="19.95" customHeight="1">
      <c r="A13" s="114" t="s">
        <v>374</v>
      </c>
      <c r="B13" s="124" t="s">
        <v>120</v>
      </c>
      <c r="C13" s="114" t="s">
        <v>188</v>
      </c>
      <c r="M13" s="143" t="s">
        <v>285</v>
      </c>
    </row>
    <row r="14" spans="1:13" ht="19.95" customHeight="1">
      <c r="A14" s="114" t="s">
        <v>378</v>
      </c>
      <c r="B14" s="124" t="s">
        <v>121</v>
      </c>
      <c r="C14" s="114" t="s">
        <v>189</v>
      </c>
      <c r="M14" s="143" t="s">
        <v>288</v>
      </c>
    </row>
    <row r="15" spans="1:13" ht="19.95" customHeight="1">
      <c r="A15" s="114" t="s">
        <v>139</v>
      </c>
      <c r="B15" s="124" t="s">
        <v>113</v>
      </c>
      <c r="C15" s="114" t="s">
        <v>190</v>
      </c>
      <c r="M15" s="143" t="s">
        <v>811</v>
      </c>
    </row>
    <row r="16" spans="1:13" ht="19.95" customHeight="1">
      <c r="B16" s="124" t="s">
        <v>114</v>
      </c>
      <c r="C16" s="114" t="s">
        <v>191</v>
      </c>
      <c r="M16" s="143" t="s">
        <v>364</v>
      </c>
    </row>
    <row r="17" spans="2:13" ht="19.95" customHeight="1">
      <c r="B17" s="124" t="s">
        <v>122</v>
      </c>
      <c r="C17" s="114" t="s">
        <v>192</v>
      </c>
    </row>
    <row r="18" spans="2:13" ht="19.95" customHeight="1">
      <c r="B18" s="124" t="s">
        <v>371</v>
      </c>
      <c r="C18" s="114" t="s">
        <v>193</v>
      </c>
      <c r="M18" s="143" t="s">
        <v>365</v>
      </c>
    </row>
    <row r="19" spans="2:13" ht="19.95" customHeight="1">
      <c r="B19" s="124" t="s">
        <v>366</v>
      </c>
      <c r="C19" s="114" t="s">
        <v>194</v>
      </c>
      <c r="M19" s="143" t="s">
        <v>369</v>
      </c>
    </row>
    <row r="20" spans="2:13" ht="19.95" customHeight="1">
      <c r="B20" s="124" t="s">
        <v>372</v>
      </c>
      <c r="C20" s="114" t="s">
        <v>195</v>
      </c>
      <c r="M20" s="143" t="s">
        <v>370</v>
      </c>
    </row>
    <row r="21" spans="2:13" ht="19.95" customHeight="1">
      <c r="B21" s="124" t="s">
        <v>367</v>
      </c>
      <c r="C21" s="114" t="s">
        <v>196</v>
      </c>
      <c r="M21" s="143" t="s">
        <v>376</v>
      </c>
    </row>
    <row r="22" spans="2:13" ht="19.95" customHeight="1">
      <c r="B22" s="124" t="s">
        <v>373</v>
      </c>
      <c r="C22" s="114" t="s">
        <v>197</v>
      </c>
    </row>
    <row r="23" spans="2:13" ht="19.95" customHeight="1">
      <c r="B23" s="124" t="s">
        <v>358</v>
      </c>
      <c r="C23" s="114" t="s">
        <v>198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2026-06-16T12:33:01Z</cp:lastPrinted>
  <dcterms:created xsi:type="dcterms:W3CDTF">2006-09-16T00:00:00Z</dcterms:created>
  <dcterms:modified xsi:type="dcterms:W3CDTF">2026-08-18T07:23:57Z</dcterms:modified>
</cp:coreProperties>
</file>