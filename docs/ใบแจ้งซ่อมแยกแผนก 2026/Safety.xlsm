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E90D48FF-31B2-4FCC-9858-E77E04E8622C}" xr6:coauthVersionLast="47" xr6:coauthVersionMax="47" xr10:uidLastSave="{00000000-0000-0000-0000-000000000000}"/>
  <bookViews>
    <workbookView xWindow="-120" yWindow="-120" windowWidth="20730" windowHeight="1104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ena02 - Personal View" guid="{F6E435B2-B188-488F-8598-AFC48570180D}" mergeInterval="0" personalView="1" maximized="1" windowWidth="1362" windowHeight="543" tabRatio="273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qaa05 - Personal View" guid="{CBDFD7FD-13DC-4516-894B-851351BA6AB9}" mergeInterval="0" personalView="1" maximized="1" windowWidth="1362" windowHeight="543" tabRatio="351" activeSheetId="1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qaa15 - Personal View" guid="{9D751A57-40DA-49B8-9508-C6D7ED5E68F3}" mergeInterval="0" personalView="1" maximized="1" windowWidth="1347" windowHeight="506" tabRatio="351" activeSheetId="1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wha09 - Personal View" guid="{5FEB8780-83A5-46AA-A5CB-9F9A479E52D7}" mergeInterval="0" personalView="1" maximized="1" windowWidth="1350" windowHeight="531" tabRatio="494" activeSheetId="1"/>
    <customWorkbookView name="aca01 - Personal View" guid="{6E45CC1C-F2B4-4E71-B4D9-E4A83D340A41}" mergeInterval="0" personalView="1" maximized="1" windowWidth="1362" windowHeight="543" tabRatio="494" activeSheetId="1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pda11 - Personal View" guid="{725C6403-CA7F-4F2C-9A0D-0A8F381A2CAD}" mergeInterval="0" personalView="1" maximized="1" xWindow="-8" yWindow="-8" windowWidth="1936" windowHeight="1056" tabRatio="5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l="1"/>
  <c r="AM109" i="2" s="1"/>
</calcChain>
</file>

<file path=xl/sharedStrings.xml><?xml version="1.0" encoding="utf-8"?>
<sst xmlns="http://schemas.openxmlformats.org/spreadsheetml/2006/main" count="1371" uniqueCount="839">
  <si>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</si>
  <si>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</si>
  <si>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</si>
  <si>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</si>
  <si>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</si>
  <si>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</si>
  <si>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</si>
  <si>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</si>
  <si>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</si>
  <si>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</si>
  <si>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</si>
  <si>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</si>
  <si>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</si>
  <si>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</si>
  <si>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</si>
  <si>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</si>
  <si>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</si>
  <si>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</si>
  <si>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</si>
  <si>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</si>
  <si>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</si>
  <si>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</si>
  <si>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</si>
  <si>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</si>
  <si>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</si>
  <si>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</si>
  <si>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</si>
  <si>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</si>
  <si>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</si>
  <si>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</si>
  <si>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</si>
  <si>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</si>
  <si>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</si>
  <si>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</si>
  <si>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</si>
  <si>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</si>
  <si>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</si>
  <si>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</si>
  <si>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</si>
  <si>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</si>
  <si>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</si>
  <si>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</si>
  <si>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</si>
  <si>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</si>
  <si>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</si>
  <si>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</si>
  <si>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</si>
  <si>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</si>
  <si>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</si>
  <si>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</si>
  <si>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</si>
  <si>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</si>
  <si>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</si>
  <si>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</si>
  <si>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</si>
  <si>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</si>
  <si>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</si>
  <si>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</si>
  <si>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</si>
  <si>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</si>
  <si>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</si>
  <si>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</si>
  <si>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</si>
  <si>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</si>
  <si>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</si>
  <si>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</si>
  <si>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</si>
  <si>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</si>
  <si>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</si>
  <si>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</si>
  <si>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</si>
  <si>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</si>
  <si>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</si>
  <si>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</si>
  <si>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</si>
  <si>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</si>
  <si>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</si>
  <si>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</si>
  <si>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</si>
  <si>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</si>
  <si>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</si>
  <si>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</si>
  <si>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</si>
  <si>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</si>
  <si>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</si>
  <si>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</si>
  <si>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</si>
  <si>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</si>
  <si>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</si>
  <si>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</si>
  <si>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</si>
  <si>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</si>
  <si>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</si>
  <si>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</si>
  <si>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</si>
  <si>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</si>
  <si>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</si>
  <si>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</si>
  <si>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</si>
  <si>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</si>
  <si>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</si>
  <si>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</si>
  <si>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</si>
  <si>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</si>
  <si>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</si>
  <si>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</si>
  <si>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</si>
  <si>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</si>
  <si>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</si>
  <si>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</si>
  <si>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</si>
  <si>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</si>
  <si>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</si>
  <si>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</si>
  <si>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</si>
  <si>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</si>
  <si>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</si>
  <si>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</si>
  <si>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</si>
  <si>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</si>
  <si>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</si>
  <si>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</si>
  <si>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</si>
  <si>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</si>
  <si>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</si>
  <si>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</si>
  <si>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</si>
  <si>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</si>
  <si>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</si>
  <si>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</si>
  <si>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</si>
  <si>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</si>
  <si>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</si>
  <si>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</si>
  <si>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</si>
  <si>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</si>
  <si>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</si>
  <si>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</si>
  <si>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</si>
  <si>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</si>
  <si>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</si>
  <si>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</si>
  <si>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</si>
  <si>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</si>
  <si>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</si>
  <si>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</si>
  <si>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</si>
  <si>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</si>
  <si>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</si>
  <si>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</si>
  <si>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</si>
  <si>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</si>
  <si>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</si>
  <si>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</si>
  <si>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</si>
  <si>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</si>
  <si>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</si>
  <si>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</si>
  <si>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</si>
  <si>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</si>
  <si>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</si>
  <si>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</si>
  <si>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</si>
  <si>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</si>
  <si>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</si>
  <si>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</si>
  <si>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</si>
  <si>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</si>
  <si>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</si>
  <si>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</si>
  <si>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</si>
  <si>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</si>
  <si>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</si>
  <si>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</si>
  <si>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</si>
  <si>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</si>
  <si>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</si>
  <si>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</si>
  <si>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</si>
  <si>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</si>
  <si>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</si>
  <si>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</si>
  <si>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</si>
  <si>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</si>
  <si>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</si>
  <si>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</si>
  <si>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</si>
  <si>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</si>
  <si>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</si>
  <si>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</si>
  <si>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</si>
  <si>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</si>
  <si>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</si>
  <si>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</si>
  <si>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</si>
  <si>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</si>
  <si>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</si>
  <si>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</si>
  <si>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</si>
  <si>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</si>
  <si>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</si>
  <si>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</si>
  <si>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</si>
  <si>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</si>
  <si>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</si>
  <si>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</si>
  <si>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</si>
  <si>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</si>
  <si>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</si>
  <si>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</si>
  <si>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</si>
  <si>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</si>
  <si>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</si>
  <si>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</si>
  <si>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</si>
  <si>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</si>
  <si>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</si>
  <si>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</si>
  <si>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</si>
  <si>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</si>
  <si>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</si>
  <si>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</si>
  <si>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</si>
  <si>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</si>
  <si>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</si>
  <si>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</si>
  <si>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</si>
  <si>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</si>
  <si>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</si>
  <si>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</si>
  <si>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</si>
  <si>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</si>
  <si>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</si>
  <si>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</si>
  <si>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</si>
  <si>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</si>
  <si>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</si>
  <si>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</si>
  <si>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</si>
  <si>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</si>
  <si>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</si>
  <si>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</si>
  <si>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</si>
  <si>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</si>
  <si>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</si>
  <si>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</si>
  <si>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</si>
  <si>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</si>
  <si>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</si>
  <si>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</si>
  <si>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</si>
  <si>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</si>
  <si>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</si>
  <si>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</si>
  <si>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</si>
  <si>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</si>
  <si>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</si>
  <si>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</si>
  <si>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</si>
  <si>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</si>
  <si>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</si>
  <si>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</si>
  <si>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</si>
  <si>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</si>
  <si>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</si>
  <si>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</si>
  <si>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</si>
  <si>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</si>
  <si>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</si>
  <si>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</si>
  <si>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</si>
  <si>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</si>
  <si>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</si>
  <si>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</si>
  <si>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</si>
  <si>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</si>
  <si>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</si>
  <si>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</si>
  <si>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</si>
  <si>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</si>
  <si>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</si>
  <si>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</si>
  <si>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</si>
  <si>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</si>
  <si>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</si>
  <si>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</si>
  <si>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</si>
  <si>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</si>
  <si>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</si>
  <si>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</si>
  <si>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</si>
  <si>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</si>
  <si>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</si>
  <si>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</si>
  <si>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</si>
  <si>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</si>
  <si>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</si>
  <si>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</si>
  <si>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</si>
  <si>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</si>
  <si>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</si>
  <si>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</si>
  <si>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</si>
  <si>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</si>
  <si>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</si>
  <si>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</si>
  <si>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</si>
  <si>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</si>
  <si>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</si>
  <si>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</si>
  <si>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</si>
  <si>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</si>
  <si>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</si>
  <si>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</si>
  <si>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</si>
  <si>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</si>
  <si>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</si>
  <si>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</si>
  <si>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</si>
  <si>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</si>
  <si>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</si>
  <si>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</si>
  <si>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</si>
  <si>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</si>
  <si>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</si>
  <si>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</si>
  <si>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</si>
  <si>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</si>
  <si>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</si>
  <si>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</si>
  <si>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</si>
  <si>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</si>
  <si>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</si>
  <si>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</si>
  <si>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</si>
  <si>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</si>
  <si>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</si>
  <si>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</si>
  <si>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</si>
  <si>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</si>
  <si>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</si>
  <si>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</si>
  <si>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</si>
  <si>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</si>
  <si>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</si>
  <si>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</si>
  <si>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</si>
  <si>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</si>
  <si>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</si>
  <si>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</si>
  <si>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</si>
  <si>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</si>
  <si>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</si>
  <si>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</si>
  <si>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</si>
  <si>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</si>
  <si>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</si>
  <si>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</si>
  <si>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</si>
  <si>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</si>
  <si>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</si>
  <si>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</si>
  <si>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</si>
  <si>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</si>
  <si>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</si>
  <si>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</si>
  <si>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</si>
  <si>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</si>
  <si>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</si>
  <si>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</si>
  <si>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</si>
  <si>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</si>
  <si>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</si>
  <si>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</si>
  <si>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</si>
  <si>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</si>
  <si>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</si>
  <si>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</si>
  <si>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</si>
  <si>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</si>
  <si>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</si>
  <si>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</si>
  <si>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</si>
  <si>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</si>
  <si>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</si>
  <si>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</si>
  <si>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</si>
  <si>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</si>
  <si>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</si>
  <si>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</si>
  <si>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</si>
  <si>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</si>
  <si>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</si>
  <si>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</si>
  <si>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</si>
  <si>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</si>
  <si>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</si>
  <si>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</si>
  <si>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</si>
  <si>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</si>
  <si>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</si>
  <si>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</si>
  <si>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</si>
  <si>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</si>
  <si>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</si>
  <si>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</si>
  <si>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</si>
  <si>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</si>
  <si>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</si>
  <si>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</si>
  <si>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</si>
  <si>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</si>
  <si>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</si>
  <si>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</si>
  <si>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</si>
  <si>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</si>
  <si>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</si>
  <si>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</si>
  <si>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</si>
  <si>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</si>
  <si>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</si>
  <si>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</si>
  <si>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</si>
  <si>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</si>
  <si>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</si>
  <si>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</si>
  <si>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</si>
  <si>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</si>
  <si>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</si>
  <si>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</si>
  <si>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</si>
  <si>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</si>
  <si>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</si>
  <si>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</si>
  <si>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</si>
  <si>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</si>
  <si>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</si>
  <si>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</si>
  <si>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</si>
  <si>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</si>
  <si>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</si>
  <si>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</si>
  <si>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</si>
  <si>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</si>
  <si>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</si>
  <si>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</si>
  <si>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</si>
  <si>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</si>
  <si>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</si>
  <si>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</si>
  <si>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</si>
  <si>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</si>
  <si>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</si>
  <si>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</si>
  <si>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</si>
  <si>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</si>
  <si>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</si>
  <si>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</si>
  <si>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</si>
  <si>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</si>
  <si>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</si>
  <si>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</si>
  <si>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</si>
  <si>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</si>
  <si>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</si>
  <si>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</si>
  <si>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</si>
  <si>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</si>
  <si>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</si>
  <si>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</si>
  <si>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</si>
  <si>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</si>
  <si>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</si>
  <si>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</si>
  <si>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</si>
  <si>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</si>
  <si>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</si>
  <si>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</si>
  <si>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</si>
  <si>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</si>
  <si>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</si>
  <si>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</si>
  <si>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</si>
  <si>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</si>
  <si>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</si>
  <si>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</si>
  <si>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</si>
  <si>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</si>
  <si>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</si>
  <si>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</si>
  <si>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</si>
  <si>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</si>
  <si>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</si>
  <si>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</si>
  <si>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</si>
  <si>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</si>
  <si>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</si>
  <si>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</si>
  <si>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</si>
  <si>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</si>
  <si>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</si>
  <si>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</si>
  <si>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</si>
  <si>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</si>
  <si>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</si>
  <si>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</si>
  <si>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</si>
  <si>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</si>
  <si>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</si>
  <si>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</si>
  <si>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</si>
  <si>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</si>
  <si>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</si>
  <si>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</si>
  <si>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</si>
  <si>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</si>
  <si>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</si>
  <si>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</si>
  <si>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</si>
  <si>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</si>
  <si>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</si>
  <si>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</si>
  <si>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</si>
  <si>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</si>
  <si>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</si>
  <si>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</si>
  <si>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</si>
  <si>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</si>
  <si>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</si>
  <si>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</si>
  <si>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</si>
  <si>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</si>
  <si>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</si>
  <si>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</si>
  <si>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</si>
  <si>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</si>
  <si>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</si>
  <si>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</si>
  <si>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</si>
  <si>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</si>
  <si>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</si>
  <si>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</si>
  <si>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</si>
  <si>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</si>
  <si>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</si>
  <si>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</si>
  <si>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</si>
  <si>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</si>
  <si>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</si>
  <si>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</si>
  <si>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</si>
  <si>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</si>
  <si>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</si>
  <si>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</si>
  <si>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</si>
  <si>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</si>
  <si>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</si>
  <si>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</si>
  <si>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</si>
  <si>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</si>
  <si>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</si>
  <si>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</si>
  <si>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</si>
  <si>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</si>
  <si>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</si>
  <si>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</si>
  <si>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</si>
  <si>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</si>
  <si>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</si>
  <si>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</si>
  <si>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</si>
  <si>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</si>
  <si>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</si>
  <si>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</si>
  <si>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</si>
  <si>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</si>
  <si>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</si>
  <si>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</si>
  <si>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</si>
  <si>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</si>
  <si>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</si>
  <si>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</si>
  <si>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</si>
  <si>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</si>
  <si>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</si>
  <si>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</si>
  <si>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</si>
  <si>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</si>
  <si>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</si>
  <si>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</si>
  <si>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</si>
  <si>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</si>
  <si>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</si>
  <si>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</si>
  <si>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</si>
  <si>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</si>
  <si>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</si>
  <si>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</si>
  <si>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</si>
  <si>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</si>
  <si>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</si>
  <si>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</si>
  <si>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</si>
  <si>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</si>
  <si>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</si>
  <si>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</si>
  <si>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</si>
  <si>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</si>
  <si>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</si>
  <si>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</si>
  <si>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</si>
  <si>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</si>
  <si>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</si>
  <si>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</si>
  <si>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</si>
  <si>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</si>
  <si>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</si>
  <si>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</si>
  <si>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</si>
  <si>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</si>
  <si>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</si>
  <si>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</si>
  <si>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</si>
  <si>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</si>
  <si>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</si>
  <si>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</si>
  <si>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</si>
  <si>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</si>
  <si>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</si>
  <si>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</si>
  <si>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</si>
  <si>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</si>
  <si>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</si>
  <si>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</si>
  <si>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</si>
  <si>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</si>
  <si>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</si>
  <si>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</si>
  <si>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</si>
  <si>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</si>
  <si>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</si>
  <si>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</si>
  <si>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</si>
  <si>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</si>
  <si>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</si>
  <si>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</si>
  <si>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</si>
  <si>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</si>
  <si>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</si>
  <si>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</si>
  <si>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</si>
  <si>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</si>
  <si>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</si>
  <si>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</si>
  <si>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</si>
  <si>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</si>
  <si>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</si>
  <si>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</si>
  <si>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</si>
  <si>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</si>
  <si>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</si>
  <si>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</si>
  <si>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</si>
  <si>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</si>
  <si>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</si>
  <si>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</si>
  <si>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</si>
  <si>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</si>
  <si>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</si>
  <si>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</si>
  <si>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</si>
  <si>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</si>
  <si>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</si>
  <si>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</si>
  <si>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</si>
  <si>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</si>
  <si>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</si>
  <si>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</si>
  <si>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</si>
  <si>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</si>
  <si>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</si>
  <si>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</si>
  <si>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</si>
  <si>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</si>
  <si>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</si>
  <si>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</si>
  <si>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</si>
  <si>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</si>
  <si>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</si>
  <si>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</si>
  <si>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</si>
  <si>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</si>
  <si>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</si>
  <si>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</si>
  <si>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</si>
  <si>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</si>
  <si>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</si>
  <si>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</si>
  <si>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</si>
  <si>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</si>
  <si>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</si>
  <si>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</si>
  <si>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</si>
  <si>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</si>
  <si>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</si>
  <si>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</si>
  <si>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</si>
  <si>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</si>
  <si>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</si>
  <si>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</si>
  <si>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</si>
  <si>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</si>
  <si>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</si>
  <si>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</si>
  <si>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</si>
  <si>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</si>
  <si>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</si>
  <si>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</si>
  <si>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</si>
  <si>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</si>
  <si>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</si>
  <si>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</si>
  <si>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</si>
  <si>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</si>
  <si>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</si>
  <si>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</si>
  <si>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</si>
  <si>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</si>
  <si>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</si>
  <si>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</si>
  <si>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</si>
  <si>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</si>
  <si>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</si>
  <si>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</si>
  <si>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</si>
  <si>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</si>
  <si>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</si>
  <si>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</si>
  <si>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</si>
  <si>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</si>
  <si>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</si>
  <si>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</si>
  <si>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</si>
  <si>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</si>
  <si>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</si>
  <si>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</si>
  <si>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</si>
  <si>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</si>
  <si>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</si>
  <si>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</si>
  <si>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</si>
  <si>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</si>
  <si>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</si>
  <si>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</si>
  <si>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</si>
  <si>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</si>
  <si>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</si>
  <si>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</si>
  <si>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</si>
  <si>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</si>
  <si>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</si>
  <si>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</si>
  <si>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</si>
  <si>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</si>
  <si>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</si>
  <si>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</si>
  <si>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</si>
  <si>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</si>
  <si>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</si>
  <si>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</si>
  <si>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</si>
  <si>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</si>
  <si>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</si>
  <si>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</si>
  <si>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</si>
  <si>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</si>
  <si>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</si>
  <si>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</si>
  <si>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</si>
  <si>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</si>
  <si>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</si>
  <si>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</si>
  <si>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</si>
  <si>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</si>
  <si>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</si>
  <si>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</si>
  <si>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</si>
  <si>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</si>
  <si>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</si>
  <si>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</si>
  <si>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</si>
  <si>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</si>
  <si>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</si>
  <si>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</si>
  <si>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</si>
  <si>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</si>
  <si>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</si>
  <si>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</si>
  <si>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</si>
  <si>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</si>
  <si>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</si>
  <si>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</si>
  <si>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</si>
  <si>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</si>
  <si>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</si>
  <si>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</si>
  <si>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</si>
  <si>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</si>
  <si>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ถอดป้ายห้ามใส่รองเท้าหน้าห้องเปลี่ยนชุดผู้ชาย</t>
  </si>
  <si>
    <t>09.32 AM</t>
  </si>
  <si>
    <t>ติดป้ายห้ามวางของสูง</t>
  </si>
  <si>
    <t>3 ป้าย</t>
  </si>
  <si>
    <t>ถอดป้ามห้ามใส่รองเท้า</t>
  </si>
  <si>
    <t>1 ป้าย</t>
  </si>
  <si>
    <t>15-06-26</t>
  </si>
  <si>
    <t>1 ชม.30 น.</t>
  </si>
  <si>
    <t>1 ชม.</t>
  </si>
  <si>
    <t>03.02 PM</t>
  </si>
  <si>
    <t>ย้ายป้ายยกของห้อง QC คัดถุง ไปที่ PK</t>
  </si>
  <si>
    <t>ติดป้าย "ห้ามสวมรองเท้าเตะ" บริเวณจุดสูบบุหรี่</t>
  </si>
  <si>
    <t>เอาป้ายไปติดตั้งบริเวณจุดสูบบุหรี่</t>
  </si>
  <si>
    <t>20น.</t>
  </si>
  <si>
    <t>เจษฎา คำสีทา</t>
  </si>
  <si>
    <t>11.41 AM</t>
  </si>
  <si>
    <t>ติดป้ายสวมใส่เน็ตคลุมผมหน้าห้องเปลี่ยนชุดผู้ชาย</t>
  </si>
  <si>
    <t>ติดป้ายห้อง EA Room Warehouse (1.ห้ามนอนพักผ่อน 2.ห้ามสูบบุหรี่รัรบประทานอาหาร 3.สถานที่เก็บรักษาสารเคมีอันตราย 4. Co2)</t>
  </si>
  <si>
    <t>ติดป้ายระวังยกของหนัก ห้อง PK และ Bag</t>
  </si>
  <si>
    <t>ถอดป้ายยกของแผนก QC ออกไปติดตั้งแผนก Packing</t>
  </si>
  <si>
    <t>ติดตั้งป้าย</t>
  </si>
  <si>
    <t>21-07-26</t>
  </si>
  <si>
    <t>08.43 AM</t>
  </si>
  <si>
    <t>ที่แขวนถังดับเพลิง</t>
  </si>
  <si>
    <t>แก้ไขที่แขวนถังดับเพลิง จำนวน 2 จุด</t>
  </si>
  <si>
    <t>แก้ไขป้ายแขวนถังดับเพลิง WH</t>
  </si>
  <si>
    <t>ตู้อุปกรณ์ชุดดับเพลิง</t>
  </si>
  <si>
    <t>ติดตั้งตู้พร้อมอุปกรณ์ชุดดับเพลิง</t>
  </si>
  <si>
    <t>25-07-26</t>
  </si>
  <si>
    <t>ทางแผนก Wh ดำเนินการ</t>
  </si>
  <si>
    <t>20-07-26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</si>
</sst>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1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  <font>
      <sz val="10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7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100" fillId="2" borderId="6" xfId="0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62" fillId="0" borderId="41" xfId="0" applyFont="1" applyBorder="1" applyAlignment="1">
      <alignment horizontal="center" vertical="center"/>
    </xf>
    <xf numFmtId="0" fontId="32" fillId="12" borderId="3" xfId="0" applyFont="1" applyFill="1" applyBorder="1" applyAlignment="1">
      <alignment horizontal="left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/>
    </xf>
    <xf numFmtId="0" fontId="25" fillId="0" borderId="0" xfId="0" applyFont="1" applyAlignment="1">
      <alignment horizontal="center" vertical="center"/>
    </xf>
    <xf numFmtId="0" fontId="25" fillId="0" borderId="33" xfId="0" applyFont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20" fontId="81" fillId="12" borderId="29" xfId="0" applyNumberFormat="1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5" xfId="0" applyFont="1" applyBorder="1" applyAlignment="1">
      <alignment horizont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0000FF"/>
      <color rgb="FFFC9204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6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690941"/>
          <a:ext cx="1280160" cy="42147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4355314"/>
          <a:ext cx="1280160" cy="45719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5007762"/>
          <a:ext cx="1280160" cy="45720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7770043"/>
          <a:ext cx="1280160" cy="45720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902425"/>
          <a:ext cx="1359693" cy="67627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6267443"/>
          <a:ext cx="1280160" cy="45720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7731945"/>
          <a:ext cx="1280160" cy="45720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8915436"/>
          <a:ext cx="1359693" cy="67627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312102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N1" zoomScale="80" zoomScaleNormal="80" workbookViewId="0">
      <pane ySplit="10" topLeftCell="A78" activePane="bottomLeft" state="frozen"/>
      <selection pane="bottomLeft" activeCell="Q78" sqref="Q78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5">
        <v>61</v>
      </c>
      <c r="J2" s="256" t="str">
        <f ca="1">IFERROR(VLOOKUP(I2,JOB_NO,2,0),0)</f>
        <v>EN-26-061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5"/>
      <c r="J3" s="256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50" t="s">
        <v>371</v>
      </c>
      <c r="C4" s="25"/>
      <c r="D4" s="254" t="s">
        <v>1</v>
      </c>
      <c r="E4" s="254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50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50"/>
      <c r="D6" s="252" t="s">
        <v>384</v>
      </c>
      <c r="E6" s="253"/>
      <c r="F6" s="253"/>
      <c r="G6" s="253"/>
      <c r="H6" s="253"/>
      <c r="I6" s="251" t="s">
        <v>285</v>
      </c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13" t="s">
        <v>3</v>
      </c>
      <c r="AG6" s="199">
        <f ca="1">TODAY()</f>
        <v>46252</v>
      </c>
      <c r="AH6" s="40">
        <f ca="1">NOW()</f>
        <v>46252.295509953707</v>
      </c>
    </row>
    <row r="7" spans="1:35" ht="4.1500000000000004" customHeight="1">
      <c r="B7" s="250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0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50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0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155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 t="s">
        <v>178</v>
      </c>
      <c r="Q57" s="147" t="s">
        <v>810</v>
      </c>
      <c r="R57" s="147"/>
      <c r="S57" s="147"/>
      <c r="T57" s="147"/>
      <c r="U57" s="217" t="s">
        <v>811</v>
      </c>
      <c r="V57" s="147" t="s">
        <v>203</v>
      </c>
      <c r="W57" s="147"/>
      <c r="X57" s="154" t="s">
        <v>208</v>
      </c>
      <c r="Y57" s="147"/>
      <c r="Z57" s="150">
        <v>46362</v>
      </c>
      <c r="AA57" s="151">
        <v>0.95833333333333337</v>
      </c>
      <c r="AB57" s="150">
        <v>46179</v>
      </c>
      <c r="AC57" s="151">
        <v>2.0833333333333332E-2</v>
      </c>
      <c r="AD57" s="152" t="s">
        <v>815</v>
      </c>
      <c r="AE57" s="153"/>
      <c r="AF57" s="148" t="s">
        <v>777</v>
      </c>
      <c r="AG57" s="147" t="s">
        <v>80</v>
      </c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hidden="1" customHeight="1">
      <c r="D71" s="13">
        <v>61</v>
      </c>
      <c r="E71" s="13" t="s">
        <v>446</v>
      </c>
      <c r="F71" s="15" t="s">
        <v>155</v>
      </c>
      <c r="G71" s="118" t="s">
        <v>231</v>
      </c>
      <c r="H71" s="126" t="s">
        <v>754</v>
      </c>
      <c r="I71" s="14">
        <v>46188</v>
      </c>
      <c r="J71" s="48" t="s">
        <v>809</v>
      </c>
      <c r="K71" s="118" t="s">
        <v>139</v>
      </c>
      <c r="L71" s="118" t="s">
        <v>140</v>
      </c>
      <c r="M71" s="118" t="s">
        <v>144</v>
      </c>
      <c r="N71" s="127" t="s">
        <v>779</v>
      </c>
      <c r="O71" s="16" t="s">
        <v>808</v>
      </c>
      <c r="P71" s="147" t="s">
        <v>178</v>
      </c>
      <c r="Q71" s="147" t="s">
        <v>812</v>
      </c>
      <c r="R71" s="147"/>
      <c r="S71" s="147"/>
      <c r="T71" s="147"/>
      <c r="U71" s="217" t="s">
        <v>813</v>
      </c>
      <c r="V71" s="147" t="s">
        <v>203</v>
      </c>
      <c r="W71" s="147"/>
      <c r="X71" s="154" t="s">
        <v>208</v>
      </c>
      <c r="Y71" s="147"/>
      <c r="Z71" s="150" t="s">
        <v>814</v>
      </c>
      <c r="AA71" s="151">
        <v>0.91666666666666663</v>
      </c>
      <c r="AB71" s="150" t="s">
        <v>814</v>
      </c>
      <c r="AC71" s="151">
        <v>0.95833333333333337</v>
      </c>
      <c r="AD71" s="152" t="s">
        <v>816</v>
      </c>
      <c r="AE71" s="153"/>
      <c r="AF71" s="148" t="s">
        <v>754</v>
      </c>
      <c r="AG71" s="147" t="s">
        <v>164</v>
      </c>
      <c r="AH71" s="147"/>
    </row>
    <row r="72" spans="4:34" ht="18" hidden="1" customHeight="1">
      <c r="D72" s="15">
        <v>62</v>
      </c>
      <c r="E72" s="13" t="s">
        <v>447</v>
      </c>
      <c r="F72" s="15" t="s">
        <v>155</v>
      </c>
      <c r="G72" s="118" t="s">
        <v>231</v>
      </c>
      <c r="H72" s="126" t="s">
        <v>754</v>
      </c>
      <c r="I72" s="14">
        <v>46192</v>
      </c>
      <c r="J72" s="48" t="s">
        <v>817</v>
      </c>
      <c r="K72" s="118" t="s">
        <v>139</v>
      </c>
      <c r="L72" s="118" t="s">
        <v>140</v>
      </c>
      <c r="M72" s="118" t="s">
        <v>144</v>
      </c>
      <c r="N72" s="127" t="s">
        <v>779</v>
      </c>
      <c r="O72" s="16" t="s">
        <v>818</v>
      </c>
      <c r="P72" s="147" t="s">
        <v>178</v>
      </c>
      <c r="Q72" s="147" t="s">
        <v>827</v>
      </c>
      <c r="R72" s="147"/>
      <c r="S72" s="147"/>
      <c r="T72" s="147"/>
      <c r="U72" s="217" t="s">
        <v>813</v>
      </c>
      <c r="V72" s="147" t="s">
        <v>203</v>
      </c>
      <c r="W72" s="147"/>
      <c r="X72" s="154" t="s">
        <v>208</v>
      </c>
      <c r="Y72" s="147"/>
      <c r="Z72" s="150" t="s">
        <v>838</v>
      </c>
      <c r="AA72" s="151">
        <v>0.625</v>
      </c>
      <c r="AB72" s="150" t="s">
        <v>838</v>
      </c>
      <c r="AC72" s="151">
        <v>0.70833333333333337</v>
      </c>
      <c r="AD72" s="152"/>
      <c r="AE72" s="153"/>
      <c r="AF72" s="148" t="s">
        <v>754</v>
      </c>
      <c r="AG72" s="147" t="s">
        <v>164</v>
      </c>
      <c r="AH72" s="147"/>
    </row>
    <row r="73" spans="4:34" ht="18" hidden="1" customHeight="1">
      <c r="D73" s="249">
        <v>63</v>
      </c>
      <c r="E73" s="13" t="s">
        <v>448</v>
      </c>
      <c r="F73" s="15" t="s">
        <v>155</v>
      </c>
      <c r="G73" s="118" t="s">
        <v>231</v>
      </c>
      <c r="H73" s="126" t="s">
        <v>754</v>
      </c>
      <c r="I73" s="14">
        <v>46192</v>
      </c>
      <c r="J73" s="48">
        <v>0.47916666666666669</v>
      </c>
      <c r="K73" s="118" t="s">
        <v>139</v>
      </c>
      <c r="L73" s="118" t="s">
        <v>140</v>
      </c>
      <c r="M73" s="118" t="s">
        <v>144</v>
      </c>
      <c r="N73" s="127" t="s">
        <v>779</v>
      </c>
      <c r="O73" s="16" t="s">
        <v>819</v>
      </c>
      <c r="P73" s="147" t="s">
        <v>178</v>
      </c>
      <c r="Q73" s="147" t="s">
        <v>820</v>
      </c>
      <c r="R73" s="147"/>
      <c r="S73" s="147"/>
      <c r="T73" s="147"/>
      <c r="U73" s="217" t="s">
        <v>813</v>
      </c>
      <c r="V73" s="147" t="s">
        <v>203</v>
      </c>
      <c r="W73" s="147"/>
      <c r="X73" s="154" t="s">
        <v>208</v>
      </c>
      <c r="Y73" s="147"/>
      <c r="Z73" s="150">
        <v>46203</v>
      </c>
      <c r="AA73" s="151">
        <v>0.54166666666666663</v>
      </c>
      <c r="AB73" s="150">
        <v>46203</v>
      </c>
      <c r="AC73" s="151">
        <v>0.55555555555555558</v>
      </c>
      <c r="AD73" s="152" t="s">
        <v>821</v>
      </c>
      <c r="AE73" s="153"/>
      <c r="AF73" s="247" t="s">
        <v>754</v>
      </c>
      <c r="AG73" s="147" t="s">
        <v>822</v>
      </c>
      <c r="AH73" s="147"/>
    </row>
    <row r="74" spans="4:34" ht="18" hidden="1" customHeight="1">
      <c r="D74" s="15">
        <v>64</v>
      </c>
      <c r="E74" s="13" t="s">
        <v>449</v>
      </c>
      <c r="F74" s="15" t="s">
        <v>155</v>
      </c>
      <c r="G74" s="118" t="s">
        <v>231</v>
      </c>
      <c r="H74" s="126" t="s">
        <v>754</v>
      </c>
      <c r="I74" s="14">
        <v>46222</v>
      </c>
      <c r="J74" s="48" t="s">
        <v>823</v>
      </c>
      <c r="K74" s="118" t="s">
        <v>139</v>
      </c>
      <c r="L74" s="118" t="s">
        <v>140</v>
      </c>
      <c r="M74" s="118" t="s">
        <v>144</v>
      </c>
      <c r="N74" s="127" t="s">
        <v>779</v>
      </c>
      <c r="O74" s="16" t="s">
        <v>824</v>
      </c>
      <c r="P74" s="147" t="s">
        <v>178</v>
      </c>
      <c r="Q74" s="147" t="s">
        <v>828</v>
      </c>
      <c r="R74" s="147"/>
      <c r="S74" s="147"/>
      <c r="T74" s="147"/>
      <c r="U74" s="217" t="s">
        <v>813</v>
      </c>
      <c r="V74" s="147" t="s">
        <v>203</v>
      </c>
      <c r="W74" s="147"/>
      <c r="X74" s="154" t="s">
        <v>208</v>
      </c>
      <c r="Y74" s="147"/>
      <c r="Z74" s="150" t="s">
        <v>829</v>
      </c>
      <c r="AA74" s="151">
        <v>0.375</v>
      </c>
      <c r="AB74" s="150" t="s">
        <v>829</v>
      </c>
      <c r="AC74" s="151">
        <v>0.5</v>
      </c>
      <c r="AD74" s="152"/>
      <c r="AE74" s="153"/>
      <c r="AF74" s="148" t="s">
        <v>754</v>
      </c>
      <c r="AG74" s="147" t="s">
        <v>80</v>
      </c>
      <c r="AH74" s="147"/>
    </row>
    <row r="75" spans="4:34" ht="18" hidden="1" customHeight="1">
      <c r="D75" s="13">
        <v>65</v>
      </c>
      <c r="E75" s="13" t="s">
        <v>450</v>
      </c>
      <c r="F75" s="15" t="s">
        <v>155</v>
      </c>
      <c r="G75" s="118" t="s">
        <v>231</v>
      </c>
      <c r="H75" s="126" t="s">
        <v>754</v>
      </c>
      <c r="I75" s="14">
        <v>46222</v>
      </c>
      <c r="J75" s="48" t="s">
        <v>823</v>
      </c>
      <c r="K75" s="118" t="s">
        <v>139</v>
      </c>
      <c r="L75" s="118" t="s">
        <v>140</v>
      </c>
      <c r="M75" s="118" t="s">
        <v>144</v>
      </c>
      <c r="N75" s="127" t="s">
        <v>779</v>
      </c>
      <c r="O75" s="16" t="s">
        <v>825</v>
      </c>
      <c r="P75" s="147"/>
      <c r="Q75" s="147"/>
      <c r="R75" s="147"/>
      <c r="S75" s="222" t="s">
        <v>837</v>
      </c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hidden="1" customHeight="1">
      <c r="D76" s="15">
        <v>66</v>
      </c>
      <c r="E76" s="13" t="s">
        <v>451</v>
      </c>
      <c r="F76" s="15" t="s">
        <v>155</v>
      </c>
      <c r="G76" s="118" t="s">
        <v>231</v>
      </c>
      <c r="H76" s="126" t="s">
        <v>754</v>
      </c>
      <c r="I76" s="14">
        <v>46222</v>
      </c>
      <c r="J76" s="48" t="s">
        <v>823</v>
      </c>
      <c r="K76" s="118" t="s">
        <v>139</v>
      </c>
      <c r="L76" s="118" t="s">
        <v>140</v>
      </c>
      <c r="M76" s="118" t="s">
        <v>144</v>
      </c>
      <c r="N76" s="127" t="s">
        <v>779</v>
      </c>
      <c r="O76" s="16" t="s">
        <v>826</v>
      </c>
      <c r="P76" s="147"/>
      <c r="Q76" s="147" t="s">
        <v>828</v>
      </c>
      <c r="R76" s="147"/>
      <c r="S76" s="147"/>
      <c r="T76" s="147"/>
      <c r="U76" s="217" t="s">
        <v>813</v>
      </c>
      <c r="V76" s="147" t="s">
        <v>203</v>
      </c>
      <c r="W76" s="147"/>
      <c r="X76" s="154" t="s">
        <v>208</v>
      </c>
      <c r="Y76" s="147"/>
      <c r="Z76" s="150" t="s">
        <v>829</v>
      </c>
      <c r="AA76" s="151">
        <v>0.375</v>
      </c>
      <c r="AB76" s="150" t="s">
        <v>829</v>
      </c>
      <c r="AC76" s="151">
        <v>0.5</v>
      </c>
      <c r="AD76" s="152"/>
      <c r="AE76" s="153"/>
      <c r="AF76" s="148" t="s">
        <v>754</v>
      </c>
      <c r="AG76" s="147" t="s">
        <v>80</v>
      </c>
      <c r="AH76" s="147"/>
    </row>
    <row r="77" spans="4:34" ht="18" hidden="1" customHeight="1">
      <c r="D77" s="13">
        <v>67</v>
      </c>
      <c r="E77" s="13" t="s">
        <v>452</v>
      </c>
      <c r="F77" s="15" t="s">
        <v>155</v>
      </c>
      <c r="G77" s="118" t="s">
        <v>231</v>
      </c>
      <c r="H77" s="126" t="s">
        <v>777</v>
      </c>
      <c r="I77" s="14">
        <v>46226</v>
      </c>
      <c r="J77" s="48" t="s">
        <v>830</v>
      </c>
      <c r="K77" s="118" t="s">
        <v>139</v>
      </c>
      <c r="L77" s="118" t="s">
        <v>140</v>
      </c>
      <c r="M77" s="118" t="s">
        <v>144</v>
      </c>
      <c r="N77" s="127" t="s">
        <v>831</v>
      </c>
      <c r="O77" s="16" t="s">
        <v>833</v>
      </c>
      <c r="P77" s="147" t="s">
        <v>178</v>
      </c>
      <c r="Q77" s="147" t="s">
        <v>832</v>
      </c>
      <c r="R77" s="147"/>
      <c r="S77" s="147"/>
      <c r="T77" s="147"/>
      <c r="U77" s="217"/>
      <c r="V77" s="147" t="s">
        <v>203</v>
      </c>
      <c r="W77" s="147"/>
      <c r="X77" s="154" t="s">
        <v>208</v>
      </c>
      <c r="Y77" s="147"/>
      <c r="Z77" s="150" t="s">
        <v>836</v>
      </c>
      <c r="AA77" s="151">
        <v>0.54166666666666663</v>
      </c>
      <c r="AB77" s="150" t="s">
        <v>836</v>
      </c>
      <c r="AC77" s="151">
        <v>0.66666666666666663</v>
      </c>
      <c r="AD77" s="152"/>
      <c r="AE77" s="153"/>
      <c r="AF77" s="148" t="s">
        <v>754</v>
      </c>
      <c r="AG77" s="147" t="s">
        <v>163</v>
      </c>
      <c r="AH77" s="147"/>
    </row>
    <row r="78" spans="4:34" ht="18" customHeight="1">
      <c r="D78" s="15">
        <v>68</v>
      </c>
      <c r="E78" s="13" t="s">
        <v>453</v>
      </c>
      <c r="F78" s="15" t="s">
        <v>155</v>
      </c>
      <c r="G78" s="118" t="s">
        <v>231</v>
      </c>
      <c r="H78" s="126" t="s">
        <v>754</v>
      </c>
      <c r="I78" s="14">
        <v>46244</v>
      </c>
      <c r="J78" s="48">
        <v>0.65972222222222221</v>
      </c>
      <c r="K78" s="118" t="s">
        <v>139</v>
      </c>
      <c r="L78" s="118" t="s">
        <v>140</v>
      </c>
      <c r="M78" s="118" t="s">
        <v>144</v>
      </c>
      <c r="N78" s="127" t="s">
        <v>834</v>
      </c>
      <c r="O78" s="16" t="s">
        <v>835</v>
      </c>
      <c r="P78" s="147"/>
      <c r="Q78" s="147"/>
      <c r="R78" s="147"/>
      <c r="S78" s="224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 t="s">
        <v>164</v>
      </c>
      <c r="AH78" s="147"/>
    </row>
    <row r="79" spans="4:34" ht="18" hidden="1" customHeight="1">
      <c r="D79" s="13">
        <v>69</v>
      </c>
      <c r="E79" s="13" t="s">
        <v>454</v>
      </c>
      <c r="F79" s="15"/>
      <c r="G79" s="118"/>
      <c r="H79" s="126"/>
      <c r="I79" s="14"/>
      <c r="J79" s="48"/>
      <c r="K79" s="118"/>
      <c r="L79" s="118"/>
      <c r="M79" s="118"/>
      <c r="N79" s="127"/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hidden="1" customHeight="1">
      <c r="D80" s="15">
        <v>70</v>
      </c>
      <c r="E80" s="13" t="s">
        <v>455</v>
      </c>
      <c r="F80" s="15"/>
      <c r="G80" s="118"/>
      <c r="H80" s="126"/>
      <c r="I80" s="14"/>
      <c r="J80" s="48"/>
      <c r="K80" s="118"/>
      <c r="L80" s="118"/>
      <c r="M80" s="118"/>
      <c r="N80" s="127"/>
      <c r="O80" s="16"/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hidden="1" customHeight="1">
      <c r="D81" s="13">
        <v>71</v>
      </c>
      <c r="E81" s="13" t="s">
        <v>456</v>
      </c>
      <c r="F81" s="15"/>
      <c r="G81" s="118"/>
      <c r="H81" s="126"/>
      <c r="I81" s="14"/>
      <c r="J81" s="48"/>
      <c r="K81" s="118"/>
      <c r="L81" s="118"/>
      <c r="M81" s="118"/>
      <c r="N81" s="127"/>
      <c r="O81" s="16"/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hidden="1" customHeight="1">
      <c r="D82" s="15">
        <v>72</v>
      </c>
      <c r="E82" s="13" t="s">
        <v>457</v>
      </c>
      <c r="F82" s="15"/>
      <c r="G82" s="118"/>
      <c r="H82" s="126"/>
      <c r="I82" s="14"/>
      <c r="J82" s="48"/>
      <c r="K82" s="118"/>
      <c r="L82" s="118"/>
      <c r="M82" s="118"/>
      <c r="N82" s="127"/>
      <c r="O82" s="16"/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hidden="1" customHeight="1">
      <c r="D83" s="13">
        <v>73</v>
      </c>
      <c r="E83" s="13" t="s">
        <v>458</v>
      </c>
      <c r="F83" s="15"/>
      <c r="G83" s="118"/>
      <c r="H83" s="126"/>
      <c r="I83" s="14"/>
      <c r="J83" s="48"/>
      <c r="K83" s="118"/>
      <c r="L83" s="118"/>
      <c r="M83" s="118"/>
      <c r="N83" s="127"/>
      <c r="O83" s="16"/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hidden="1" customHeight="1">
      <c r="D84" s="15">
        <v>74</v>
      </c>
      <c r="E84" s="13" t="s">
        <v>459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hidden="1" customHeight="1">
      <c r="D85" s="13">
        <v>75</v>
      </c>
      <c r="E85" s="13" t="s">
        <v>460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hidden="1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hidden="1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hidden="1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hidden="1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hidden="1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hidden="1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hidden="1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hidden="1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hidden="1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hidden="1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hidden="1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hidden="1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hidden="1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hidden="1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hidden="1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hidden="1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hidden="1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hidden="1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hidden="1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hidden="1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hidden="1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hidden="1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hidden="1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hidden="1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hidden="1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hidden="1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hidden="1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hidden="1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hidden="1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hidden="1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hidden="1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hidden="1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hidden="1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hidden="1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hidden="1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hidden="1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hidden="1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hidden="1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hidden="1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hidden="1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hidden="1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hidden="1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hidden="1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hidden="1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hidden="1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hidden="1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hidden="1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hidden="1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hidden="1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hidden="1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hidden="1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hidden="1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hidden="1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hidden="1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hidden="1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hidden="1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hidden="1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hidden="1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hidden="1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hidden="1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hidden="1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hidden="1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hidden="1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hidden="1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hidden="1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hidden="1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hidden="1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hidden="1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hidden="1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hidden="1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hidden="1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hidden="1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hidden="1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hidden="1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hidden="1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hidden="1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hidden="1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hidden="1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hidden="1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hidden="1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hidden="1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hidden="1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hidden="1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hidden="1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hidden="1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hidden="1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hidden="1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hidden="1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hidden="1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hidden="1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hidden="1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hidden="1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hidden="1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hidden="1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hidden="1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hidden="1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hidden="1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hidden="1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hidden="1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hidden="1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hidden="1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hidden="1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hidden="1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hidden="1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hidden="1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hidden="1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hidden="1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hidden="1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hidden="1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hidden="1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hidden="1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hidden="1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hidden="1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hidden="1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hidden="1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hidden="1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hidden="1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hidden="1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hidden="1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hidden="1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hidden="1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hidden="1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hidden="1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hidden="1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hidden="1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hidden="1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hidden="1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hidden="1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hidden="1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hidden="1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hidden="1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hidden="1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hidden="1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hidden="1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hidden="1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hidden="1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hidden="1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hidden="1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hidden="1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hidden="1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hidden="1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hidden="1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hidden="1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hidden="1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hidden="1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hidden="1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hidden="1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hidden="1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hidden="1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hidden="1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hidden="1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hidden="1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hidden="1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hidden="1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hidden="1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hidden="1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hidden="1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hidden="1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hidden="1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hidden="1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hidden="1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hidden="1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hidden="1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hidden="1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hidden="1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hidden="1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hidden="1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hidden="1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hidden="1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hidden="1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hidden="1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hidden="1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hidden="1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hidden="1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hidden="1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hidden="1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hidden="1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hidden="1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hidden="1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hidden="1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hidden="1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hidden="1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hidden="1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hidden="1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hidden="1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hidden="1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hidden="1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hidden="1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hidden="1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hidden="1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hidden="1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hidden="1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hidden="1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hidden="1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hidden="1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hidden="1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hidden="1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hidden="1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hidden="1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hidden="1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hidden="1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hidden="1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hidden="1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hidden="1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hidden="1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hidden="1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hidden="1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hidden="1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hidden="1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hidden="1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hidden="1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hidden="1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hidden="1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hidden="1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hidden="1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hidden="1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hidden="1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hidden="1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hidden="1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hidden="1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hidden="1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hidden="1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hidden="1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hidden="1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hidden="1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hidden="1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hidden="1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hidden="1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hidden="1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hidden="1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hidden="1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hidden="1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hidden="1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hidden="1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hidden="1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hidden="1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hidden="1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hidden="1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hidden="1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hidden="1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hidden="1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hidden="1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hidden="1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hidden="1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hidden="1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hidden="1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hidden="1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hidden="1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hidden="1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hidden="1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hidden="1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hidden="1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hidden="1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hidden="1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hidden="1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hidden="1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hidden="1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hidden="1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hidden="1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hidden="1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hidden="1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hidden="1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hidden="1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hidden="1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hidden="1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hidden="1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hidden="1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hidden="1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hidden="1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hidden="1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hidden="1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hidden="1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hidden="1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hidden="1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hidden="1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hidden="1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hidden="1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0">
      <filters>
        <filter val="Wait"/>
      </filters>
    </filterColumn>
    <filterColumn colId="1">
      <filters blank="1">
        <filter val="Safety"/>
      </filters>
    </filterColumn>
  </autoFilter>
  <customSheetViews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24D20F6D-75D0-4D41-9BE4-0D4EA2484E93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84C1A58B-15E4-41AC-A23F-40F9C585AC7F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59B1188D-AEB5-4D9A-AFBF-9176D033398E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917A3FA9-1C65-4172-A914-EEC0ABD1EC82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3917AB85-9897-4102-8B7C-26C17622F7E2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9FE47063-A4E7-4F4E-9B07-DB474AABD411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5792D163-D031-4749-AF49-B562D8DA2856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35707B69-7419-40CF-86C0-E3200026C87F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A76B5235-0FD2-493A-963B-9246DEEA6F40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39662F07-DE1D-4DEC-9597-466FF665E95D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A9534FDC-9D5B-40C7-B729-8F1A5A3E59FC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2FCAD29F-C091-4AF3-BC11-2FC095039EE5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415726C1-B1DD-43D2-9C37-83E3FF649D91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E6B87468-F762-4249-B916-0CCDAA034B74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0DCBFF3D-A273-4D5A-A988-27F4FDD3664A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B5FE1D31-B0CA-4528-8A69-323A9C42A0E1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460A2680-27AE-4CF0-8DB0-D67D4EA043FF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8380759A-6CD9-4E4A-8297-FB772F9EBF54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83F83511-3E8B-44C5-88D3-D9FE6912B2F3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73724326-DE9B-4073-A02A-5793F502C728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AF2575B2-72DD-41AB-B57A-0C5B5C6149BB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3610515B-6743-4955-BDDA-29D4270D2BE6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FDB854F4-D295-4F19-A583-C23A9CD04B3B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15A07011-C377-4C60-8BC0-65D262C58059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9473FB82-19B2-48B1-A98A-D2663E905A76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602AE289-BEE9-4D4F-A86C-5AFFE3A33BAD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19551802-A5EE-435D-8644-C2CED919C679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3A3BF322-7322-4C84-A4AD-D9E54831442A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47FA875D-CFF2-436D-8AF6-EFAB801C755B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9F093D0B-CB05-4DE0-9E7C-2C017C5B2E13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173B64F1-D822-4E28-A9D1-45304C219518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D8420DC7-51BF-499D-8D9E-62FEA9C096B2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C046671F-B997-445B-9446-C90E93E95F29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E00EB545-594D-481E-A3B8-E6CA6F61C963}"/>
    </customSheetView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8E86A934-9CAE-491B-ABC0-598DA60F3934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M36" sqref="M36:AB36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EN-26-061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Safety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ป้ายความปลอดภัย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46188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 t="str">
        <f t="array" aca="1" ref="L7" ca="1">VLOOKUP($F$2,DataRecord,D7,0)</f>
        <v>09.32 AM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 t="str">
        <f t="array" aca="1" ref="L10" ca="1">VLOOKUP($F$2,DataRecord,D10,0)</f>
        <v>Wait for Maintenance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ถอดป้ายห้ามใส่รองเท้าหน้าห้องเปลี่ยนชุดผู้ชาย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ภัคภร พลีดี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อื่นๆ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 t="str">
        <f t="array" aca="1" ref="L14" ca="1">VLOOKUP($F$2,DataRecord,D14,0)</f>
        <v>ถอดป้ามห้ามใส่รองเท้า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>
        <f t="array" aca="1" ref="L17" ca="1">VLOOKUP($F$2,DataRecord,D17,0)</f>
        <v>0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 t="str">
        <f t="array" aca="1" ref="L18" ca="1">VLOOKUP($F$2,DataRecord,D18,0)</f>
        <v>1 ป้าย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 t="str">
        <f t="array" aca="1" ref="L23" ca="1">VLOOKUP($F$2,DataRecord,D23,0)</f>
        <v xml:space="preserve">อธิคม คูณปล้อง  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 t="str">
        <f t="array" aca="1" ref="L24" ca="1">VLOOKUP($F$2,DataRecord,D24,0)</f>
        <v>15-06-26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0.91666666666666663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 t="str">
        <f t="array" aca="1" ref="L26" ca="1">VLOOKUP($F$2,DataRecord,D26,0)</f>
        <v>15-06-26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0.95833333333333337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73"/>
      <c r="D30" s="374"/>
      <c r="E30" s="374"/>
      <c r="F30" s="374"/>
      <c r="G30" s="343"/>
      <c r="H30" s="343"/>
      <c r="I30" s="343"/>
      <c r="J30" s="343"/>
      <c r="K30" s="343"/>
      <c r="L30" s="343"/>
      <c r="M30" s="344"/>
      <c r="N30" s="350" t="s">
        <v>23</v>
      </c>
      <c r="O30" s="351"/>
      <c r="P30" s="351"/>
      <c r="Q30" s="351"/>
      <c r="R30" s="351"/>
      <c r="S30" s="351"/>
      <c r="T30" s="351"/>
      <c r="U30" s="351"/>
      <c r="V30" s="351"/>
      <c r="W30" s="351"/>
      <c r="X30" s="351"/>
      <c r="Y30" s="351"/>
      <c r="Z30" s="351"/>
      <c r="AA30" s="351"/>
      <c r="AB30" s="351"/>
      <c r="AC30" s="351"/>
      <c r="AD30" s="351"/>
      <c r="AE30" s="351"/>
      <c r="AF30" s="351"/>
      <c r="AG30" s="351"/>
      <c r="AH30" s="351"/>
      <c r="AI30" s="351"/>
      <c r="AJ30" s="351"/>
      <c r="AK30" s="352"/>
      <c r="AL30" s="379" t="s">
        <v>69</v>
      </c>
      <c r="AM30" s="380"/>
      <c r="AN30" s="380"/>
      <c r="AO30" s="380"/>
      <c r="AP30" s="380"/>
      <c r="AQ30" s="380"/>
      <c r="AR30" s="380"/>
      <c r="AS30" s="380"/>
      <c r="AT30" s="381"/>
      <c r="AW30" s="144"/>
    </row>
    <row r="31" spans="3:49" ht="12" customHeight="1">
      <c r="C31" s="375"/>
      <c r="D31" s="376"/>
      <c r="E31" s="376"/>
      <c r="F31" s="376"/>
      <c r="G31" s="340"/>
      <c r="H31" s="340"/>
      <c r="I31" s="340"/>
      <c r="J31" s="340"/>
      <c r="K31" s="340"/>
      <c r="L31" s="340"/>
      <c r="M31" s="345"/>
      <c r="N31" s="353"/>
      <c r="O31" s="354"/>
      <c r="P31" s="354"/>
      <c r="Q31" s="354"/>
      <c r="R31" s="354"/>
      <c r="S31" s="354"/>
      <c r="T31" s="354"/>
      <c r="U31" s="354"/>
      <c r="V31" s="354"/>
      <c r="W31" s="354"/>
      <c r="X31" s="354"/>
      <c r="Y31" s="354"/>
      <c r="Z31" s="354"/>
      <c r="AA31" s="354"/>
      <c r="AB31" s="354"/>
      <c r="AC31" s="354"/>
      <c r="AD31" s="354"/>
      <c r="AE31" s="354"/>
      <c r="AF31" s="354"/>
      <c r="AG31" s="354"/>
      <c r="AH31" s="354"/>
      <c r="AI31" s="354"/>
      <c r="AJ31" s="354"/>
      <c r="AK31" s="355"/>
      <c r="AL31" s="362" t="str">
        <f ca="1">"*"&amp;AL33&amp;"*"</f>
        <v>*EN-26-061*</v>
      </c>
      <c r="AM31" s="363"/>
      <c r="AN31" s="363"/>
      <c r="AO31" s="363"/>
      <c r="AP31" s="363"/>
      <c r="AQ31" s="363"/>
      <c r="AR31" s="363"/>
      <c r="AS31" s="363"/>
      <c r="AT31" s="364"/>
      <c r="AW31" s="144"/>
    </row>
    <row r="32" spans="3:49" ht="12" customHeight="1">
      <c r="C32" s="375"/>
      <c r="D32" s="376"/>
      <c r="E32" s="376"/>
      <c r="F32" s="376"/>
      <c r="G32" s="346"/>
      <c r="H32" s="346"/>
      <c r="I32" s="346"/>
      <c r="J32" s="346"/>
      <c r="K32" s="346"/>
      <c r="L32" s="346"/>
      <c r="M32" s="347"/>
      <c r="N32" s="356" t="s">
        <v>24</v>
      </c>
      <c r="O32" s="357"/>
      <c r="P32" s="357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57"/>
      <c r="AB32" s="357"/>
      <c r="AC32" s="357"/>
      <c r="AD32" s="357"/>
      <c r="AE32" s="357"/>
      <c r="AF32" s="357"/>
      <c r="AG32" s="357"/>
      <c r="AH32" s="357"/>
      <c r="AI32" s="357"/>
      <c r="AJ32" s="357"/>
      <c r="AK32" s="358"/>
      <c r="AL32" s="362"/>
      <c r="AM32" s="363"/>
      <c r="AN32" s="363"/>
      <c r="AO32" s="363"/>
      <c r="AP32" s="363"/>
      <c r="AQ32" s="363"/>
      <c r="AR32" s="363"/>
      <c r="AS32" s="363"/>
      <c r="AT32" s="364"/>
      <c r="AW32" s="144"/>
    </row>
    <row r="33" spans="3:54" ht="19.899999999999999" customHeight="1" thickBot="1">
      <c r="C33" s="377"/>
      <c r="D33" s="378"/>
      <c r="E33" s="378"/>
      <c r="F33" s="378"/>
      <c r="G33" s="348"/>
      <c r="H33" s="348"/>
      <c r="I33" s="348"/>
      <c r="J33" s="348"/>
      <c r="K33" s="348"/>
      <c r="L33" s="348"/>
      <c r="M33" s="349"/>
      <c r="N33" s="359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0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1"/>
      <c r="AL33" s="382" t="str">
        <f ca="1">F2</f>
        <v>EN-26-061</v>
      </c>
      <c r="AM33" s="383"/>
      <c r="AN33" s="383"/>
      <c r="AO33" s="383"/>
      <c r="AP33" s="383"/>
      <c r="AQ33" s="383"/>
      <c r="AR33" s="383"/>
      <c r="AS33" s="383"/>
      <c r="AT33" s="384"/>
      <c r="AW33" s="144"/>
    </row>
    <row r="34" spans="3:54" ht="25.15" customHeight="1">
      <c r="C34" s="333" t="s">
        <v>25</v>
      </c>
      <c r="D34" s="334"/>
      <c r="E34" s="334"/>
      <c r="F34" s="334"/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334"/>
      <c r="T34" s="334"/>
      <c r="U34" s="334"/>
      <c r="V34" s="334"/>
      <c r="W34" s="334"/>
      <c r="X34" s="334"/>
      <c r="Y34" s="334"/>
      <c r="Z34" s="334"/>
      <c r="AA34" s="334"/>
      <c r="AB34" s="334"/>
      <c r="AC34" s="334"/>
      <c r="AD34" s="334"/>
      <c r="AE34" s="334"/>
      <c r="AF34" s="334"/>
      <c r="AG34" s="334"/>
      <c r="AH34" s="334"/>
      <c r="AI34" s="334"/>
      <c r="AJ34" s="334"/>
      <c r="AK34" s="334"/>
      <c r="AL34" s="334"/>
      <c r="AM34" s="334"/>
      <c r="AN34" s="334"/>
      <c r="AO34" s="334"/>
      <c r="AP34" s="334"/>
      <c r="AQ34" s="334"/>
      <c r="AR34" s="334"/>
      <c r="AS34" s="334"/>
      <c r="AT34" s="335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32" t="s">
        <v>231</v>
      </c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332"/>
      <c r="AB36" s="332"/>
      <c r="AC36" s="211"/>
      <c r="AD36" s="212"/>
      <c r="AE36" s="60" t="s">
        <v>28</v>
      </c>
      <c r="AF36" s="61"/>
      <c r="AG36" s="61"/>
      <c r="AH36" s="61"/>
      <c r="AL36" s="330">
        <f ca="1">L6</f>
        <v>46188</v>
      </c>
      <c r="AM36" s="330"/>
      <c r="AN36" s="330"/>
      <c r="AO36" s="330"/>
      <c r="AP36" s="330"/>
      <c r="AQ36" s="330"/>
      <c r="AR36" s="330"/>
      <c r="AS36" s="330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36" t="str">
        <f ca="1">$L$5</f>
        <v>ป้ายความปลอดภัย</v>
      </c>
      <c r="N38" s="336"/>
      <c r="O38" s="336"/>
      <c r="P38" s="336"/>
      <c r="Q38" s="336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336"/>
      <c r="AC38" s="209"/>
      <c r="AD38" s="212"/>
      <c r="AE38" s="60" t="s">
        <v>29</v>
      </c>
      <c r="AF38" s="61"/>
      <c r="AG38" s="61"/>
      <c r="AH38" s="61"/>
      <c r="AL38" s="331" t="str">
        <f ca="1">L7</f>
        <v>09.32 AM</v>
      </c>
      <c r="AM38" s="331"/>
      <c r="AN38" s="331"/>
      <c r="AO38" s="331"/>
      <c r="AP38" s="331"/>
      <c r="AQ38" s="331"/>
      <c r="AR38" s="331"/>
      <c r="AS38" s="331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>P</v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38" t="str">
        <f ca="1">"      "&amp;$L$11</f>
        <v xml:space="preserve">      ถอดป้ายห้ามใส่รองเท้าหน้าห้องเปลี่ยนชุดผู้ชาย</v>
      </c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  <c r="AL47" s="338"/>
      <c r="AM47" s="338"/>
      <c r="AN47" s="338"/>
      <c r="AO47" s="338"/>
      <c r="AP47" s="338"/>
      <c r="AQ47" s="338"/>
      <c r="AR47" s="338"/>
      <c r="AS47" s="338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7"/>
      <c r="R49" s="337"/>
      <c r="S49" s="337"/>
      <c r="T49" s="337"/>
      <c r="U49" s="337"/>
      <c r="V49" s="337"/>
      <c r="W49" s="337"/>
      <c r="X49" s="337"/>
      <c r="Y49" s="337"/>
      <c r="Z49" s="337"/>
      <c r="AA49" s="337"/>
      <c r="AB49" s="337"/>
      <c r="AC49" s="337"/>
      <c r="AD49" s="337"/>
      <c r="AE49" s="337"/>
      <c r="AF49" s="337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339"/>
      <c r="E51" s="339"/>
      <c r="F51" s="339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/>
      <c r="R51" s="340"/>
      <c r="S51" s="340"/>
      <c r="T51" s="340"/>
      <c r="U51" s="340"/>
      <c r="Y51" s="339" t="s">
        <v>83</v>
      </c>
      <c r="Z51" s="339"/>
      <c r="AA51" s="339"/>
      <c r="AB51" s="341" t="str">
        <f ca="1">$L$12</f>
        <v>ภัคภร พลีดี</v>
      </c>
      <c r="AC51" s="341"/>
      <c r="AD51" s="341"/>
      <c r="AE51" s="341"/>
      <c r="AF51" s="341"/>
      <c r="AG51" s="341"/>
      <c r="AH51" s="341"/>
      <c r="AI51" s="341"/>
      <c r="AJ51" s="341"/>
      <c r="AK51" s="341"/>
      <c r="AL51" s="341"/>
      <c r="AM51" s="340" t="s">
        <v>85</v>
      </c>
      <c r="AN51" s="340"/>
      <c r="AO51" s="340"/>
      <c r="AP51" s="340"/>
      <c r="AQ51" s="340"/>
      <c r="AR51" s="340"/>
      <c r="AS51" s="340"/>
      <c r="AT51" s="63"/>
    </row>
    <row r="52" spans="3:46" ht="10.15" customHeight="1">
      <c r="C52" s="56"/>
      <c r="AT52" s="57"/>
    </row>
    <row r="53" spans="3:46" ht="25.15" customHeight="1">
      <c r="C53" s="370" t="s">
        <v>26</v>
      </c>
      <c r="D53" s="371"/>
      <c r="E53" s="371"/>
      <c r="F53" s="371"/>
      <c r="G53" s="371"/>
      <c r="H53" s="371"/>
      <c r="I53" s="371"/>
      <c r="J53" s="371"/>
      <c r="K53" s="371"/>
      <c r="L53" s="371"/>
      <c r="M53" s="371"/>
      <c r="N53" s="371"/>
      <c r="O53" s="371"/>
      <c r="P53" s="371"/>
      <c r="Q53" s="371"/>
      <c r="R53" s="371"/>
      <c r="S53" s="371"/>
      <c r="T53" s="371"/>
      <c r="U53" s="371"/>
      <c r="V53" s="371"/>
      <c r="W53" s="371"/>
      <c r="X53" s="371"/>
      <c r="Y53" s="371"/>
      <c r="Z53" s="371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2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>P</v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276" t="s">
        <v>206</v>
      </c>
      <c r="AD65" s="277"/>
      <c r="AE65" s="277"/>
      <c r="AF65" s="277"/>
      <c r="AG65" s="277"/>
      <c r="AH65" s="275" t="s">
        <v>64</v>
      </c>
      <c r="AI65" s="275"/>
      <c r="AJ65" s="259" t="str">
        <f ca="1">IF(AL63="P",L22,"")</f>
        <v/>
      </c>
      <c r="AK65" s="259"/>
      <c r="AL65" s="259"/>
      <c r="AM65" s="259"/>
      <c r="AN65" s="259"/>
      <c r="AO65" s="259"/>
      <c r="AP65" s="259"/>
      <c r="AQ65" s="259"/>
      <c r="AR65" s="259"/>
      <c r="AS65" s="259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75" t="s">
        <v>64</v>
      </c>
      <c r="F67" s="275"/>
      <c r="G67" s="388" t="str">
        <f ca="1">IF($D$63="P",$L$16,"")</f>
        <v/>
      </c>
      <c r="H67" s="388"/>
      <c r="I67" s="388"/>
      <c r="J67" s="388"/>
      <c r="K67" s="388"/>
      <c r="L67" s="388"/>
      <c r="M67" s="388"/>
      <c r="N67" s="388"/>
      <c r="O67" s="388"/>
      <c r="P67" s="388"/>
      <c r="Q67" s="388"/>
      <c r="R67" s="388"/>
      <c r="S67" s="388"/>
      <c r="T67" s="388"/>
      <c r="U67" s="388"/>
      <c r="V67" s="388"/>
      <c r="W67" s="388"/>
      <c r="X67" s="388"/>
      <c r="Y67" s="388"/>
      <c r="Z67" s="388"/>
      <c r="AC67" s="80"/>
      <c r="AD67" s="54" t="s">
        <v>75</v>
      </c>
      <c r="AE67" s="259" t="str">
        <f ca="1">$L$23</f>
        <v xml:space="preserve">อธิคม คูณปล้อง  </v>
      </c>
      <c r="AF67" s="259"/>
      <c r="AG67" s="259"/>
      <c r="AH67" s="259"/>
      <c r="AI67" s="259"/>
      <c r="AJ67" s="259"/>
      <c r="AK67" s="259"/>
      <c r="AL67" s="259"/>
      <c r="AM67" s="259"/>
      <c r="AN67" s="259"/>
      <c r="AO67" s="259"/>
      <c r="AP67" s="259"/>
      <c r="AQ67" s="259"/>
      <c r="AR67" s="259"/>
      <c r="AS67" s="259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258"/>
      <c r="AF69" s="258"/>
      <c r="AG69" s="258"/>
      <c r="AH69" s="258"/>
      <c r="AI69" s="258"/>
      <c r="AJ69" s="258"/>
      <c r="AK69" s="258"/>
      <c r="AL69" s="258"/>
      <c r="AM69" s="258"/>
      <c r="AN69" s="258"/>
      <c r="AO69" s="258"/>
      <c r="AP69" s="258"/>
      <c r="AQ69" s="258"/>
      <c r="AR69" s="258"/>
      <c r="AS69" s="258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258"/>
      <c r="AF71" s="258"/>
      <c r="AG71" s="258"/>
      <c r="AH71" s="258"/>
      <c r="AI71" s="258"/>
      <c r="AJ71" s="258"/>
      <c r="AK71" s="258"/>
      <c r="AL71" s="258"/>
      <c r="AM71" s="258"/>
      <c r="AN71" s="258"/>
      <c r="AO71" s="258"/>
      <c r="AP71" s="258"/>
      <c r="AQ71" s="258"/>
      <c r="AR71" s="258"/>
      <c r="AS71" s="258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258"/>
      <c r="AF73" s="258"/>
      <c r="AG73" s="258"/>
      <c r="AH73" s="258"/>
      <c r="AI73" s="258"/>
      <c r="AJ73" s="258"/>
      <c r="AK73" s="258"/>
      <c r="AL73" s="258"/>
      <c r="AM73" s="258"/>
      <c r="AN73" s="258"/>
      <c r="AO73" s="258"/>
      <c r="AP73" s="258"/>
      <c r="AQ73" s="258"/>
      <c r="AR73" s="258"/>
      <c r="AS73" s="258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75" t="s">
        <v>64</v>
      </c>
      <c r="F75" s="275"/>
      <c r="G75" s="369" t="str">
        <f ca="1">IF($D$71="P",$L$20,"")</f>
        <v/>
      </c>
      <c r="H75" s="369"/>
      <c r="I75" s="369"/>
      <c r="J75" s="369"/>
      <c r="K75" s="369"/>
      <c r="L75" s="369"/>
      <c r="M75" s="369"/>
      <c r="N75" s="369"/>
      <c r="O75" s="369"/>
      <c r="P75" s="369"/>
      <c r="Q75" s="369"/>
      <c r="R75" s="369"/>
      <c r="S75" s="369"/>
      <c r="T75" s="369"/>
      <c r="U75" s="369"/>
      <c r="V75" s="369"/>
      <c r="W75" s="369"/>
      <c r="X75" s="369"/>
      <c r="Y75" s="369"/>
      <c r="Z75" s="369"/>
      <c r="AA75" s="98"/>
      <c r="AC75" s="80"/>
      <c r="AD75" s="54" t="s">
        <v>79</v>
      </c>
      <c r="AE75" s="258"/>
      <c r="AF75" s="258"/>
      <c r="AG75" s="258"/>
      <c r="AH75" s="258"/>
      <c r="AI75" s="258"/>
      <c r="AJ75" s="258"/>
      <c r="AK75" s="258"/>
      <c r="AL75" s="258"/>
      <c r="AM75" s="258"/>
      <c r="AN75" s="258"/>
      <c r="AO75" s="258"/>
      <c r="AP75" s="258"/>
      <c r="AQ75" s="258"/>
      <c r="AR75" s="258"/>
      <c r="AS75" s="258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67" t="str">
        <f ca="1">"      "&amp;$L$14</f>
        <v xml:space="preserve">      ถอดป้ามห้ามใส่รองเท้า</v>
      </c>
      <c r="E78" s="367"/>
      <c r="F78" s="367"/>
      <c r="G78" s="367"/>
      <c r="H78" s="367"/>
      <c r="I78" s="367"/>
      <c r="J78" s="367"/>
      <c r="K78" s="367"/>
      <c r="L78" s="367"/>
      <c r="M78" s="367"/>
      <c r="N78" s="367"/>
      <c r="O78" s="367"/>
      <c r="P78" s="367"/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/>
      <c r="AO78" s="367"/>
      <c r="AP78" s="367"/>
      <c r="AQ78" s="367"/>
      <c r="AR78" s="367"/>
      <c r="AS78" s="367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68"/>
      <c r="E80" s="368"/>
      <c r="F80" s="368"/>
      <c r="G80" s="368"/>
      <c r="H80" s="368"/>
      <c r="I80" s="368"/>
      <c r="J80" s="368"/>
      <c r="K80" s="368"/>
      <c r="L80" s="368"/>
      <c r="M80" s="368"/>
      <c r="N80" s="368"/>
      <c r="O80" s="368"/>
      <c r="P80" s="368"/>
      <c r="Q80" s="368"/>
      <c r="R80" s="368"/>
      <c r="S80" s="368"/>
      <c r="T80" s="368"/>
      <c r="U80" s="368"/>
      <c r="V80" s="368"/>
      <c r="W80" s="368"/>
      <c r="X80" s="368"/>
      <c r="Y80" s="368"/>
      <c r="Z80" s="368"/>
      <c r="AA80" s="368"/>
      <c r="AB80" s="368"/>
      <c r="AC80" s="368"/>
      <c r="AD80" s="368"/>
      <c r="AE80" s="368"/>
      <c r="AF80" s="368"/>
      <c r="AG80" s="368"/>
      <c r="AH80" s="368"/>
      <c r="AI80" s="368"/>
      <c r="AJ80" s="368"/>
      <c r="AK80" s="368"/>
      <c r="AL80" s="368"/>
      <c r="AM80" s="368"/>
      <c r="AN80" s="368"/>
      <c r="AO80" s="368"/>
      <c r="AP80" s="368"/>
      <c r="AQ80" s="368"/>
      <c r="AR80" s="368"/>
      <c r="AS80" s="368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339" t="s">
        <v>83</v>
      </c>
      <c r="E82" s="339"/>
      <c r="F82" s="339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40" t="s">
        <v>82</v>
      </c>
      <c r="S82" s="340"/>
      <c r="T82" s="340"/>
      <c r="U82" s="340"/>
      <c r="Y82" s="339" t="s">
        <v>84</v>
      </c>
      <c r="Z82" s="339"/>
      <c r="AA82" s="339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40" t="s">
        <v>81</v>
      </c>
      <c r="AN82" s="340"/>
      <c r="AO82" s="340"/>
      <c r="AP82" s="340"/>
      <c r="AQ82" s="340"/>
      <c r="AR82" s="340"/>
      <c r="AS82" s="340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85" t="s">
        <v>260</v>
      </c>
      <c r="E84" s="386"/>
      <c r="F84" s="386"/>
      <c r="G84" s="386"/>
      <c r="H84" s="386"/>
      <c r="I84" s="386"/>
      <c r="J84" s="386"/>
      <c r="K84" s="386"/>
      <c r="L84" s="386"/>
      <c r="M84" s="386"/>
      <c r="N84" s="386"/>
      <c r="O84" s="386"/>
      <c r="P84" s="386"/>
      <c r="Q84" s="386"/>
      <c r="R84" s="386"/>
      <c r="S84" s="386"/>
      <c r="T84" s="386"/>
      <c r="U84" s="386"/>
      <c r="V84" s="386"/>
      <c r="W84" s="386"/>
      <c r="X84" s="386"/>
      <c r="Y84" s="386"/>
      <c r="Z84" s="386"/>
      <c r="AA84" s="386"/>
      <c r="AB84" s="386"/>
      <c r="AC84" s="386"/>
      <c r="AD84" s="386"/>
      <c r="AE84" s="386"/>
      <c r="AF84" s="386"/>
      <c r="AG84" s="386"/>
      <c r="AH84" s="386"/>
      <c r="AI84" s="386"/>
      <c r="AJ84" s="386"/>
      <c r="AK84" s="386"/>
      <c r="AL84" s="386"/>
      <c r="AM84" s="386"/>
      <c r="AN84" s="386"/>
      <c r="AO84" s="386"/>
      <c r="AP84" s="386"/>
      <c r="AQ84" s="386"/>
      <c r="AR84" s="386"/>
      <c r="AS84" s="387"/>
      <c r="AT84" s="59"/>
    </row>
    <row r="85" spans="3:46" s="60" customFormat="1" ht="18" customHeight="1">
      <c r="C85" s="86"/>
      <c r="D85" s="272" t="s">
        <v>49</v>
      </c>
      <c r="E85" s="273"/>
      <c r="F85" s="272" t="s">
        <v>259</v>
      </c>
      <c r="G85" s="273"/>
      <c r="H85" s="273"/>
      <c r="I85" s="273"/>
      <c r="J85" s="273"/>
      <c r="K85" s="273"/>
      <c r="L85" s="273"/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4"/>
      <c r="AD85" s="272" t="s">
        <v>46</v>
      </c>
      <c r="AE85" s="273"/>
      <c r="AF85" s="273"/>
      <c r="AG85" s="274"/>
      <c r="AH85" s="272" t="s">
        <v>7</v>
      </c>
      <c r="AI85" s="273"/>
      <c r="AJ85" s="273"/>
      <c r="AK85" s="273"/>
      <c r="AL85" s="273"/>
      <c r="AM85" s="273"/>
      <c r="AN85" s="273"/>
      <c r="AO85" s="273"/>
      <c r="AP85" s="273"/>
      <c r="AQ85" s="273"/>
      <c r="AR85" s="273"/>
      <c r="AS85" s="274"/>
      <c r="AT85" s="87"/>
    </row>
    <row r="86" spans="3:46" s="54" customFormat="1" ht="18" customHeight="1">
      <c r="C86" s="58"/>
      <c r="D86" s="295" t="s">
        <v>50</v>
      </c>
      <c r="E86" s="296"/>
      <c r="F86" s="295" t="s">
        <v>258</v>
      </c>
      <c r="G86" s="296"/>
      <c r="H86" s="296"/>
      <c r="I86" s="296"/>
      <c r="J86" s="296"/>
      <c r="K86" s="296"/>
      <c r="L86" s="296"/>
      <c r="M86" s="296"/>
      <c r="N86" s="296"/>
      <c r="O86" s="296"/>
      <c r="P86" s="296"/>
      <c r="Q86" s="296"/>
      <c r="R86" s="296"/>
      <c r="S86" s="296"/>
      <c r="T86" s="296"/>
      <c r="U86" s="296"/>
      <c r="V86" s="296"/>
      <c r="W86" s="296"/>
      <c r="X86" s="296"/>
      <c r="Y86" s="296"/>
      <c r="Z86" s="296"/>
      <c r="AA86" s="296"/>
      <c r="AB86" s="296"/>
      <c r="AC86" s="297"/>
      <c r="AD86" s="295" t="s">
        <v>47</v>
      </c>
      <c r="AE86" s="296"/>
      <c r="AF86" s="296"/>
      <c r="AG86" s="297"/>
      <c r="AH86" s="295" t="s">
        <v>48</v>
      </c>
      <c r="AI86" s="296"/>
      <c r="AJ86" s="296"/>
      <c r="AK86" s="296"/>
      <c r="AL86" s="296"/>
      <c r="AM86" s="296"/>
      <c r="AN86" s="296"/>
      <c r="AO86" s="296"/>
      <c r="AP86" s="296"/>
      <c r="AQ86" s="296"/>
      <c r="AR86" s="296"/>
      <c r="AS86" s="297"/>
      <c r="AT86" s="59"/>
    </row>
    <row r="87" spans="3:46" s="61" customFormat="1" ht="24" customHeight="1">
      <c r="C87" s="62"/>
      <c r="D87" s="321" t="str">
        <f ca="1">IF(F87="-","",IF(F87=0,"",1))</f>
        <v/>
      </c>
      <c r="E87" s="322"/>
      <c r="F87" s="323">
        <f ca="1">$L$17</f>
        <v>0</v>
      </c>
      <c r="G87" s="324"/>
      <c r="H87" s="324"/>
      <c r="I87" s="324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5"/>
      <c r="AD87" s="321" t="str">
        <f ca="1">$L$18</f>
        <v>1 ป้าย</v>
      </c>
      <c r="AE87" s="365"/>
      <c r="AF87" s="365"/>
      <c r="AG87" s="322"/>
      <c r="AH87" s="323"/>
      <c r="AI87" s="324"/>
      <c r="AJ87" s="324"/>
      <c r="AK87" s="324"/>
      <c r="AL87" s="324"/>
      <c r="AM87" s="324"/>
      <c r="AN87" s="324"/>
      <c r="AO87" s="324"/>
      <c r="AP87" s="324"/>
      <c r="AQ87" s="324"/>
      <c r="AR87" s="324"/>
      <c r="AS87" s="325"/>
      <c r="AT87" s="63"/>
    </row>
    <row r="88" spans="3:46" s="54" customFormat="1" ht="24" customHeight="1">
      <c r="C88" s="58"/>
      <c r="D88" s="278"/>
      <c r="E88" s="280"/>
      <c r="F88" s="278"/>
      <c r="G88" s="279"/>
      <c r="H88" s="279"/>
      <c r="I88" s="279"/>
      <c r="J88" s="279"/>
      <c r="K88" s="279"/>
      <c r="L88" s="279"/>
      <c r="M88" s="279"/>
      <c r="N88" s="279"/>
      <c r="O88" s="279"/>
      <c r="P88" s="279"/>
      <c r="Q88" s="279"/>
      <c r="R88" s="279"/>
      <c r="S88" s="279"/>
      <c r="T88" s="279"/>
      <c r="U88" s="279"/>
      <c r="V88" s="279"/>
      <c r="W88" s="279"/>
      <c r="X88" s="279"/>
      <c r="Y88" s="279"/>
      <c r="Z88" s="279"/>
      <c r="AA88" s="279"/>
      <c r="AB88" s="279"/>
      <c r="AC88" s="280"/>
      <c r="AD88" s="278"/>
      <c r="AE88" s="279"/>
      <c r="AF88" s="279"/>
      <c r="AG88" s="280"/>
      <c r="AH88" s="269"/>
      <c r="AI88" s="270"/>
      <c r="AJ88" s="270"/>
      <c r="AK88" s="270"/>
      <c r="AL88" s="270"/>
      <c r="AM88" s="270"/>
      <c r="AN88" s="270"/>
      <c r="AO88" s="270"/>
      <c r="AP88" s="270"/>
      <c r="AQ88" s="270"/>
      <c r="AR88" s="270"/>
      <c r="AS88" s="271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278"/>
      <c r="E90" s="280"/>
      <c r="F90" s="278"/>
      <c r="G90" s="279"/>
      <c r="H90" s="279"/>
      <c r="I90" s="279"/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  <c r="Z90" s="279"/>
      <c r="AA90" s="279"/>
      <c r="AB90" s="279"/>
      <c r="AC90" s="280"/>
      <c r="AD90" s="278"/>
      <c r="AE90" s="279"/>
      <c r="AF90" s="279"/>
      <c r="AG90" s="280"/>
      <c r="AH90" s="269"/>
      <c r="AI90" s="270"/>
      <c r="AJ90" s="270"/>
      <c r="AK90" s="270"/>
      <c r="AL90" s="270"/>
      <c r="AM90" s="270"/>
      <c r="AN90" s="270"/>
      <c r="AO90" s="270"/>
      <c r="AP90" s="270"/>
      <c r="AQ90" s="270"/>
      <c r="AR90" s="270"/>
      <c r="AS90" s="271"/>
      <c r="AT90" s="59"/>
    </row>
    <row r="91" spans="3:46" s="54" customFormat="1" ht="24" customHeight="1">
      <c r="C91" s="58"/>
      <c r="D91" s="281"/>
      <c r="E91" s="283"/>
      <c r="F91" s="281"/>
      <c r="G91" s="282"/>
      <c r="H91" s="282"/>
      <c r="I91" s="282"/>
      <c r="J91" s="282"/>
      <c r="K91" s="282"/>
      <c r="L91" s="282"/>
      <c r="M91" s="282"/>
      <c r="N91" s="282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3"/>
      <c r="AD91" s="281"/>
      <c r="AE91" s="282"/>
      <c r="AF91" s="282"/>
      <c r="AG91" s="283"/>
      <c r="AH91" s="266"/>
      <c r="AI91" s="267"/>
      <c r="AJ91" s="267"/>
      <c r="AK91" s="267"/>
      <c r="AL91" s="267"/>
      <c r="AM91" s="267"/>
      <c r="AN91" s="267"/>
      <c r="AO91" s="267"/>
      <c r="AP91" s="267"/>
      <c r="AQ91" s="267"/>
      <c r="AR91" s="267"/>
      <c r="AS91" s="268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292" t="s">
        <v>54</v>
      </c>
      <c r="Z93" s="293"/>
      <c r="AA93" s="293"/>
      <c r="AB93" s="293"/>
      <c r="AC93" s="293"/>
      <c r="AD93" s="293"/>
      <c r="AE93" s="293"/>
      <c r="AF93" s="293"/>
      <c r="AG93" s="293"/>
      <c r="AH93" s="293"/>
      <c r="AI93" s="293"/>
      <c r="AJ93" s="293"/>
      <c r="AK93" s="293"/>
      <c r="AL93" s="293"/>
      <c r="AM93" s="293"/>
      <c r="AN93" s="293"/>
      <c r="AO93" s="293"/>
      <c r="AP93" s="293"/>
      <c r="AQ93" s="293"/>
      <c r="AR93" s="293"/>
      <c r="AS93" s="294"/>
      <c r="AT93" s="59"/>
    </row>
    <row r="94" spans="3:46" ht="4.9000000000000004" customHeight="1">
      <c r="C94" s="56"/>
      <c r="S94" s="54"/>
      <c r="Y94" s="295"/>
      <c r="Z94" s="296"/>
      <c r="AA94" s="296"/>
      <c r="AB94" s="296"/>
      <c r="AC94" s="296"/>
      <c r="AD94" s="296"/>
      <c r="AE94" s="296"/>
      <c r="AF94" s="296"/>
      <c r="AG94" s="296"/>
      <c r="AH94" s="296"/>
      <c r="AI94" s="296"/>
      <c r="AJ94" s="296"/>
      <c r="AK94" s="296"/>
      <c r="AL94" s="296"/>
      <c r="AM94" s="296"/>
      <c r="AN94" s="296"/>
      <c r="AO94" s="296"/>
      <c r="AP94" s="296"/>
      <c r="AQ94" s="296"/>
      <c r="AR94" s="296"/>
      <c r="AS94" s="297"/>
      <c r="AT94" s="57"/>
    </row>
    <row r="95" spans="3:46" ht="19.899999999999999" customHeight="1">
      <c r="C95" s="56"/>
      <c r="D95" s="111"/>
      <c r="E95" s="54" t="s">
        <v>51</v>
      </c>
      <c r="S95" s="54"/>
      <c r="Y95" s="390" t="s">
        <v>61</v>
      </c>
      <c r="Z95" s="390"/>
      <c r="AA95" s="390"/>
      <c r="AB95" s="390"/>
      <c r="AC95" s="390"/>
      <c r="AD95" s="291" t="s">
        <v>55</v>
      </c>
      <c r="AE95" s="291"/>
      <c r="AF95" s="291"/>
      <c r="AG95" s="291"/>
      <c r="AH95" s="291"/>
      <c r="AI95" s="291"/>
      <c r="AJ95" s="291"/>
      <c r="AK95" s="291"/>
      <c r="AL95" s="272" t="s">
        <v>56</v>
      </c>
      <c r="AM95" s="273"/>
      <c r="AN95" s="273"/>
      <c r="AO95" s="273"/>
      <c r="AP95" s="273"/>
      <c r="AQ95" s="273"/>
      <c r="AR95" s="273"/>
      <c r="AS95" s="274"/>
      <c r="AT95" s="57"/>
    </row>
    <row r="96" spans="3:46" ht="19.899999999999999" customHeight="1">
      <c r="C96" s="56"/>
      <c r="D96" s="88"/>
      <c r="E96" s="54" t="s">
        <v>53</v>
      </c>
      <c r="S96" s="54"/>
      <c r="Y96" s="390"/>
      <c r="Z96" s="390"/>
      <c r="AA96" s="390"/>
      <c r="AB96" s="390"/>
      <c r="AC96" s="390"/>
      <c r="AD96" s="389" t="s">
        <v>58</v>
      </c>
      <c r="AE96" s="389"/>
      <c r="AF96" s="389"/>
      <c r="AG96" s="389"/>
      <c r="AH96" s="389"/>
      <c r="AI96" s="389"/>
      <c r="AJ96" s="389"/>
      <c r="AK96" s="389"/>
      <c r="AL96" s="288" t="s">
        <v>57</v>
      </c>
      <c r="AM96" s="289"/>
      <c r="AN96" s="289"/>
      <c r="AO96" s="289"/>
      <c r="AP96" s="289"/>
      <c r="AQ96" s="289"/>
      <c r="AR96" s="289"/>
      <c r="AS96" s="290"/>
      <c r="AT96" s="57"/>
    </row>
    <row r="97" spans="3:46" ht="19.899999999999999" customHeight="1">
      <c r="C97" s="56"/>
      <c r="D97" s="111"/>
      <c r="E97" s="54" t="s">
        <v>70</v>
      </c>
      <c r="Y97" s="390"/>
      <c r="Z97" s="390"/>
      <c r="AA97" s="390"/>
      <c r="AB97" s="390"/>
      <c r="AC97" s="390"/>
      <c r="AD97" s="284" t="s">
        <v>60</v>
      </c>
      <c r="AE97" s="284"/>
      <c r="AF97" s="284" t="s">
        <v>59</v>
      </c>
      <c r="AG97" s="284"/>
      <c r="AH97" s="284" t="s">
        <v>7</v>
      </c>
      <c r="AI97" s="284"/>
      <c r="AJ97" s="284"/>
      <c r="AK97" s="284"/>
      <c r="AL97" s="284" t="s">
        <v>60</v>
      </c>
      <c r="AM97" s="284"/>
      <c r="AN97" s="284" t="s">
        <v>59</v>
      </c>
      <c r="AO97" s="284"/>
      <c r="AP97" s="285" t="s">
        <v>7</v>
      </c>
      <c r="AQ97" s="286"/>
      <c r="AR97" s="286"/>
      <c r="AS97" s="287"/>
      <c r="AT97" s="57"/>
    </row>
    <row r="98" spans="3:46" ht="4.9000000000000004" customHeight="1">
      <c r="C98" s="56"/>
      <c r="D98" s="96"/>
      <c r="E98" s="54"/>
      <c r="Y98" s="391"/>
      <c r="Z98" s="392"/>
      <c r="AA98" s="392"/>
      <c r="AB98" s="392"/>
      <c r="AC98" s="393"/>
      <c r="AD98" s="299"/>
      <c r="AE98" s="301"/>
      <c r="AF98" s="299"/>
      <c r="AG98" s="301"/>
      <c r="AH98" s="299"/>
      <c r="AI98" s="300"/>
      <c r="AJ98" s="300"/>
      <c r="AK98" s="301"/>
      <c r="AL98" s="299"/>
      <c r="AM98" s="301"/>
      <c r="AN98" s="299"/>
      <c r="AO98" s="301"/>
      <c r="AP98" s="299"/>
      <c r="AQ98" s="300"/>
      <c r="AR98" s="300"/>
      <c r="AS98" s="301"/>
      <c r="AT98" s="57"/>
    </row>
    <row r="99" spans="3:46" ht="19.899999999999999" customHeight="1">
      <c r="C99" s="56"/>
      <c r="D99" s="111"/>
      <c r="E99" s="54" t="s">
        <v>71</v>
      </c>
      <c r="Y99" s="394"/>
      <c r="Z99" s="395"/>
      <c r="AA99" s="395"/>
      <c r="AB99" s="395"/>
      <c r="AC99" s="396"/>
      <c r="AD99" s="302"/>
      <c r="AE99" s="304"/>
      <c r="AF99" s="302"/>
      <c r="AG99" s="304"/>
      <c r="AH99" s="302"/>
      <c r="AI99" s="303"/>
      <c r="AJ99" s="303"/>
      <c r="AK99" s="304"/>
      <c r="AL99" s="302"/>
      <c r="AM99" s="304"/>
      <c r="AN99" s="302"/>
      <c r="AO99" s="304"/>
      <c r="AP99" s="302"/>
      <c r="AQ99" s="303"/>
      <c r="AR99" s="303"/>
      <c r="AS99" s="304"/>
      <c r="AT99" s="57"/>
    </row>
    <row r="100" spans="3:46" ht="19.899999999999999" customHeight="1">
      <c r="C100" s="56"/>
      <c r="D100" s="88"/>
      <c r="E100" s="275" t="s">
        <v>64</v>
      </c>
      <c r="F100" s="275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  <c r="V100" s="258"/>
      <c r="W100" s="258"/>
      <c r="Y100" s="257"/>
      <c r="Z100" s="257"/>
      <c r="AA100" s="257"/>
      <c r="AB100" s="257"/>
      <c r="AC100" s="257"/>
      <c r="AD100" s="257"/>
      <c r="AE100" s="257"/>
      <c r="AF100" s="257"/>
      <c r="AG100" s="257"/>
      <c r="AH100" s="257"/>
      <c r="AI100" s="257"/>
      <c r="AJ100" s="257"/>
      <c r="AK100" s="257"/>
      <c r="AL100" s="257"/>
      <c r="AM100" s="257"/>
      <c r="AN100" s="257"/>
      <c r="AO100" s="257"/>
      <c r="AP100" s="263"/>
      <c r="AQ100" s="264"/>
      <c r="AR100" s="264"/>
      <c r="AS100" s="265"/>
      <c r="AT100" s="57"/>
    </row>
    <row r="101" spans="3:46" ht="19.899999999999999" customHeight="1">
      <c r="C101" s="56"/>
      <c r="D101" s="112"/>
      <c r="E101" s="54" t="s">
        <v>52</v>
      </c>
      <c r="Y101" s="257"/>
      <c r="Z101" s="257"/>
      <c r="AA101" s="257"/>
      <c r="AB101" s="257"/>
      <c r="AC101" s="257"/>
      <c r="AD101" s="257"/>
      <c r="AE101" s="257"/>
      <c r="AF101" s="257"/>
      <c r="AG101" s="257"/>
      <c r="AH101" s="257"/>
      <c r="AI101" s="257"/>
      <c r="AJ101" s="257"/>
      <c r="AK101" s="257"/>
      <c r="AL101" s="257"/>
      <c r="AM101" s="257"/>
      <c r="AN101" s="257"/>
      <c r="AO101" s="257"/>
      <c r="AP101" s="263"/>
      <c r="AQ101" s="264"/>
      <c r="AR101" s="264"/>
      <c r="AS101" s="265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57"/>
      <c r="Z102" s="257"/>
      <c r="AA102" s="257"/>
      <c r="AB102" s="257"/>
      <c r="AC102" s="257"/>
      <c r="AD102" s="257"/>
      <c r="AE102" s="257"/>
      <c r="AF102" s="257"/>
      <c r="AG102" s="257"/>
      <c r="AH102" s="257"/>
      <c r="AI102" s="257"/>
      <c r="AJ102" s="257"/>
      <c r="AK102" s="257"/>
      <c r="AL102" s="257"/>
      <c r="AM102" s="257"/>
      <c r="AN102" s="257"/>
      <c r="AO102" s="257"/>
      <c r="AP102" s="263"/>
      <c r="AQ102" s="264"/>
      <c r="AR102" s="264"/>
      <c r="AS102" s="265"/>
      <c r="AT102" s="57"/>
    </row>
    <row r="103" spans="3:46" s="54" customFormat="1" ht="19.899999999999999" customHeight="1">
      <c r="C103" s="58"/>
      <c r="E103" s="275" t="s">
        <v>64</v>
      </c>
      <c r="F103" s="275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  <c r="V103" s="258"/>
      <c r="W103" s="258"/>
      <c r="Y103" s="298"/>
      <c r="Z103" s="298"/>
      <c r="AA103" s="298"/>
      <c r="AB103" s="298"/>
      <c r="AC103" s="298"/>
      <c r="AD103" s="298"/>
      <c r="AE103" s="298"/>
      <c r="AF103" s="298"/>
      <c r="AG103" s="298"/>
      <c r="AH103" s="298"/>
      <c r="AI103" s="298"/>
      <c r="AJ103" s="298"/>
      <c r="AK103" s="298"/>
      <c r="AL103" s="298"/>
      <c r="AM103" s="298"/>
      <c r="AN103" s="298"/>
      <c r="AO103" s="298"/>
      <c r="AP103" s="260"/>
      <c r="AQ103" s="261"/>
      <c r="AR103" s="261"/>
      <c r="AS103" s="262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285" t="s">
        <v>94</v>
      </c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7"/>
      <c r="T105" s="285" t="s">
        <v>37</v>
      </c>
      <c r="U105" s="286"/>
      <c r="V105" s="286"/>
      <c r="W105" s="286"/>
      <c r="X105" s="286"/>
      <c r="Y105" s="286"/>
      <c r="Z105" s="286"/>
      <c r="AA105" s="286"/>
      <c r="AB105" s="286"/>
      <c r="AC105" s="286"/>
      <c r="AD105" s="286"/>
      <c r="AE105" s="286"/>
      <c r="AF105" s="286"/>
      <c r="AG105" s="286"/>
      <c r="AH105" s="286"/>
      <c r="AI105" s="287"/>
      <c r="AJ105" s="285" t="s">
        <v>96</v>
      </c>
      <c r="AK105" s="286"/>
      <c r="AL105" s="286"/>
      <c r="AM105" s="286"/>
      <c r="AN105" s="286"/>
      <c r="AO105" s="286"/>
      <c r="AP105" s="286"/>
      <c r="AQ105" s="286"/>
      <c r="AR105" s="286"/>
      <c r="AS105" s="287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276" t="s">
        <v>86</v>
      </c>
      <c r="E107" s="277"/>
      <c r="F107" s="277"/>
      <c r="G107" s="277"/>
      <c r="H107" s="319" t="str">
        <f ca="1">$L$24</f>
        <v>15-06-26</v>
      </c>
      <c r="I107" s="320"/>
      <c r="J107" s="320"/>
      <c r="K107" s="320"/>
      <c r="L107" s="277" t="s">
        <v>88</v>
      </c>
      <c r="M107" s="277"/>
      <c r="N107" s="326">
        <f ca="1">$L$25</f>
        <v>0.91666666666666663</v>
      </c>
      <c r="O107" s="320"/>
      <c r="P107" s="320"/>
      <c r="Q107" s="320"/>
      <c r="R107" s="320"/>
      <c r="T107" s="80"/>
      <c r="U107" s="54" t="s">
        <v>38</v>
      </c>
      <c r="AI107" s="81"/>
      <c r="AJ107" s="80"/>
      <c r="AM107" s="84" t="s">
        <v>41</v>
      </c>
      <c r="AN107" s="329" t="s">
        <v>43</v>
      </c>
      <c r="AO107" s="314">
        <v>100</v>
      </c>
      <c r="AP107" s="314"/>
      <c r="AS107" s="81"/>
      <c r="AT107" s="59"/>
    </row>
    <row r="108" spans="3:46" s="54" customFormat="1" ht="22.15" customHeight="1" thickTop="1" thickBot="1">
      <c r="C108" s="58"/>
      <c r="D108" s="276" t="s">
        <v>87</v>
      </c>
      <c r="E108" s="277"/>
      <c r="F108" s="277"/>
      <c r="G108" s="277"/>
      <c r="H108" s="319" t="str">
        <f ca="1">$L$26</f>
        <v>15-06-26</v>
      </c>
      <c r="I108" s="320"/>
      <c r="J108" s="320"/>
      <c r="K108" s="320"/>
      <c r="L108" s="277" t="s">
        <v>88</v>
      </c>
      <c r="M108" s="277"/>
      <c r="N108" s="327">
        <f ca="1">$L$27</f>
        <v>0.95833333333333337</v>
      </c>
      <c r="O108" s="328"/>
      <c r="P108" s="328"/>
      <c r="Q108" s="320"/>
      <c r="R108" s="320"/>
      <c r="T108" s="80"/>
      <c r="U108" s="54" t="s">
        <v>39</v>
      </c>
      <c r="AI108" s="81"/>
      <c r="AJ108" s="80"/>
      <c r="AM108" s="71" t="s">
        <v>42</v>
      </c>
      <c r="AN108" s="329"/>
      <c r="AO108" s="314"/>
      <c r="AP108" s="314"/>
      <c r="AS108" s="81"/>
      <c r="AT108" s="59"/>
    </row>
    <row r="109" spans="3:46" s="54" customFormat="1" ht="22.15" customHeight="1" thickTop="1" thickBot="1">
      <c r="C109" s="58"/>
      <c r="D109" s="276" t="s">
        <v>89</v>
      </c>
      <c r="E109" s="277"/>
      <c r="F109" s="277"/>
      <c r="G109" s="277"/>
      <c r="H109" s="277"/>
      <c r="I109" s="277"/>
      <c r="J109" s="277"/>
      <c r="K109" s="320">
        <f ca="1">ConvertMinute</f>
        <v>60</v>
      </c>
      <c r="L109" s="320"/>
      <c r="M109" s="320"/>
      <c r="N109" s="320"/>
      <c r="O109" s="320"/>
      <c r="P109" s="320"/>
      <c r="Q109" s="314" t="s">
        <v>95</v>
      </c>
      <c r="R109" s="314"/>
      <c r="S109" s="315"/>
      <c r="T109" s="80"/>
      <c r="U109" s="54" t="s">
        <v>40</v>
      </c>
      <c r="AI109" s="81"/>
      <c r="AJ109" s="80"/>
      <c r="AL109" s="85" t="s">
        <v>44</v>
      </c>
      <c r="AM109" s="318">
        <f ca="1">IF(K109=0,"",K109/1440)</f>
        <v>4.1666666666666664E-2</v>
      </c>
      <c r="AN109" s="318"/>
      <c r="AO109" s="318"/>
      <c r="AP109" s="318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05" t="s">
        <v>97</v>
      </c>
      <c r="U111" s="306"/>
      <c r="V111" s="306"/>
      <c r="W111" s="306"/>
      <c r="X111" s="306"/>
      <c r="Y111" s="306"/>
      <c r="Z111" s="306"/>
      <c r="AA111" s="306"/>
      <c r="AB111" s="306"/>
      <c r="AC111" s="306"/>
      <c r="AD111" s="306"/>
      <c r="AE111" s="306"/>
      <c r="AF111" s="306"/>
      <c r="AG111" s="306"/>
      <c r="AH111" s="306"/>
      <c r="AI111" s="306"/>
      <c r="AJ111" s="306"/>
      <c r="AK111" s="306"/>
      <c r="AL111" s="306"/>
      <c r="AM111" s="306"/>
      <c r="AN111" s="306"/>
      <c r="AO111" s="306"/>
      <c r="AP111" s="306"/>
      <c r="AQ111" s="306"/>
      <c r="AR111" s="306"/>
      <c r="AS111" s="307"/>
      <c r="AT111" s="59"/>
    </row>
    <row r="112" spans="3:46" s="54" customFormat="1" ht="25.15" customHeight="1" thickTop="1" thickBot="1">
      <c r="C112" s="58"/>
      <c r="D112" s="276" t="s">
        <v>90</v>
      </c>
      <c r="E112" s="277"/>
      <c r="F112" s="277"/>
      <c r="G112" s="316"/>
      <c r="H112" s="316"/>
      <c r="I112" s="316"/>
      <c r="J112" s="316"/>
      <c r="K112" s="316"/>
      <c r="L112" s="316"/>
      <c r="M112" s="316"/>
      <c r="N112" s="316"/>
      <c r="O112" s="316"/>
      <c r="P112" s="314" t="s">
        <v>92</v>
      </c>
      <c r="Q112" s="314"/>
      <c r="R112" s="314"/>
      <c r="S112" s="315"/>
      <c r="T112" s="308"/>
      <c r="U112" s="309"/>
      <c r="V112" s="309"/>
      <c r="W112" s="309"/>
      <c r="X112" s="309"/>
      <c r="Y112" s="309"/>
      <c r="Z112" s="309"/>
      <c r="AA112" s="309"/>
      <c r="AB112" s="309"/>
      <c r="AC112" s="309"/>
      <c r="AD112" s="309"/>
      <c r="AE112" s="309"/>
      <c r="AF112" s="309"/>
      <c r="AG112" s="309"/>
      <c r="AH112" s="309"/>
      <c r="AI112" s="309"/>
      <c r="AJ112" s="309"/>
      <c r="AK112" s="309"/>
      <c r="AL112" s="309"/>
      <c r="AM112" s="309"/>
      <c r="AN112" s="309"/>
      <c r="AO112" s="309"/>
      <c r="AP112" s="309"/>
      <c r="AQ112" s="309"/>
      <c r="AR112" s="309"/>
      <c r="AS112" s="310"/>
      <c r="AT112" s="59"/>
    </row>
    <row r="113" spans="3:46" s="54" customFormat="1" ht="25.15" customHeight="1" thickTop="1" thickBot="1">
      <c r="C113" s="58"/>
      <c r="D113" s="276" t="s">
        <v>91</v>
      </c>
      <c r="E113" s="277"/>
      <c r="F113" s="277"/>
      <c r="G113" s="317"/>
      <c r="H113" s="316"/>
      <c r="I113" s="316"/>
      <c r="J113" s="316"/>
      <c r="K113" s="316"/>
      <c r="L113" s="316"/>
      <c r="M113" s="316"/>
      <c r="N113" s="316"/>
      <c r="O113" s="316"/>
      <c r="T113" s="308"/>
      <c r="U113" s="309"/>
      <c r="V113" s="309"/>
      <c r="W113" s="309"/>
      <c r="X113" s="309"/>
      <c r="Y113" s="309"/>
      <c r="Z113" s="309"/>
      <c r="AA113" s="309"/>
      <c r="AB113" s="309"/>
      <c r="AC113" s="309"/>
      <c r="AD113" s="309"/>
      <c r="AE113" s="309"/>
      <c r="AF113" s="309"/>
      <c r="AG113" s="309"/>
      <c r="AH113" s="309"/>
      <c r="AI113" s="309"/>
      <c r="AJ113" s="309"/>
      <c r="AK113" s="309"/>
      <c r="AL113" s="309"/>
      <c r="AM113" s="309"/>
      <c r="AN113" s="309"/>
      <c r="AO113" s="309"/>
      <c r="AP113" s="309"/>
      <c r="AQ113" s="309"/>
      <c r="AR113" s="309"/>
      <c r="AS113" s="310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11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  <c r="AL114" s="312"/>
      <c r="AM114" s="312"/>
      <c r="AN114" s="312"/>
      <c r="AO114" s="312"/>
      <c r="AP114" s="312"/>
      <c r="AQ114" s="312"/>
      <c r="AR114" s="312"/>
      <c r="AS114" s="313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4.1666666666666741E-2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1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60</v>
      </c>
    </row>
  </sheetData>
  <customSheetViews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</customSheetViews>
  <mergeCells count="141"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4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397" t="s">
        <v>294</v>
      </c>
      <c r="F3" s="398"/>
      <c r="G3" s="398"/>
      <c r="H3" s="398"/>
      <c r="I3" s="399"/>
      <c r="J3" s="159" t="s">
        <v>295</v>
      </c>
      <c r="K3" s="160" t="s">
        <v>296</v>
      </c>
    </row>
    <row r="4" spans="3:11">
      <c r="C4" s="161"/>
      <c r="D4" s="162"/>
      <c r="E4" s="400"/>
      <c r="F4" s="401"/>
      <c r="G4" s="401"/>
      <c r="H4" s="401"/>
      <c r="I4" s="402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3" t="s">
        <v>299</v>
      </c>
      <c r="D6" s="404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5" t="s">
        <v>306</v>
      </c>
      <c r="D7" s="406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8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8" activePane="bottomLeft" state="frozen"/>
      <selection pane="bottomLeft" activeCell="L21" sqref="L21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L10" s="142" t="s">
        <v>232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  <c r="M17" s="143" t="s">
        <v>777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  <c r="M22" s="143" t="s">
        <v>777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2026-06-16T22:43:22Z</cp:lastPrinted>
  <dcterms:created xsi:type="dcterms:W3CDTF">2006-09-16T00:00:00Z</dcterms:created>
  <dcterms:modified xsi:type="dcterms:W3CDTF">2026-08-18T00:08:19Z</dcterms:modified>
</cp:coreProperties>
</file>