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15FE1C08-83EE-4ABC-A634-7BEA8117833C}" xr6:coauthVersionLast="47" xr6:coauthVersionMax="47" xr10:uidLastSave="{00000000-0000-0000-0000-000000000000}"/>
  <bookViews>
    <workbookView xWindow="-120" yWindow="-120" windowWidth="29040" windowHeight="15720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ena02 - Personal View" guid="{F6E435B2-B188-488F-8598-AFC48570180D}" mergeInterval="0" personalView="1" maximized="1" windowWidth="1362" windowHeight="543" tabRatio="273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qaa05 - Personal View" guid="{CBDFD7FD-13DC-4516-894B-851351BA6AB9}" mergeInterval="0" personalView="1" maximized="1" windowWidth="1362" windowHeight="543" tabRatio="351" activeSheetId="1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qaa15 - Personal View" guid="{9D751A57-40DA-49B8-9508-C6D7ED5E68F3}" mergeInterval="0" personalView="1" maximized="1" windowWidth="1347" windowHeight="506" tabRatio="351" activeSheetId="1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wha09 - Personal View" guid="{5FEB8780-83A5-46AA-A5CB-9F9A479E52D7}" mergeInterval="0" personalView="1" maximized="1" windowWidth="1350" windowHeight="531" tabRatio="494" activeSheetId="1"/>
    <customWorkbookView name="aca01 - Personal View" guid="{6E45CC1C-F2B4-4E71-B4D9-E4A83D340A41}" mergeInterval="0" personalView="1" maximized="1" windowWidth="1362" windowHeight="543" tabRatio="494" activeSheetId="1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pda11 - Personal View" guid="{725C6403-CA7F-4F2C-9A0D-0A8F381A2CAD}" mergeInterval="0" personalView="1" maximized="1" xWindow="-8" yWindow="-8" windowWidth="1936" windowHeight="1056" tabRatio="5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<sst xmlns="http://schemas.openxmlformats.org/spreadsheetml/2006/main" count="1252" uniqueCount="815">
  <si>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</si>
  <si>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</si>
  <si>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</si>
  <si>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</si>
  <si>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</si>
  <si>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</si>
  <si>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</si>
  <si>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</si>
  <si>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</si>
  <si>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</si>
  <si>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</si>
  <si>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</si>
  <si>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</si>
  <si>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</si>
  <si>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</si>
  <si>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</si>
  <si>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</si>
  <si>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</si>
  <si>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</si>
  <si>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</si>
  <si>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</si>
  <si>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</si>
  <si>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</si>
  <si>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</si>
  <si>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</si>
  <si>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</si>
  <si>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</si>
  <si>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</si>
  <si>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</si>
  <si>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</si>
  <si>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</si>
  <si>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</si>
  <si>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</si>
  <si>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</si>
  <si>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</si>
  <si>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</si>
  <si>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</si>
  <si>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</si>
  <si>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</si>
  <si>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</si>
  <si>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</si>
  <si>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</si>
  <si>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</si>
  <si>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</si>
  <si>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</si>
  <si>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</si>
  <si>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</si>
  <si>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</si>
  <si>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</si>
  <si>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</si>
  <si>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</si>
  <si>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</si>
  <si>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</si>
  <si>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</si>
  <si>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</si>
  <si>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</si>
  <si>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</si>
  <si>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</si>
  <si>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</si>
  <si>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</si>
  <si>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</si>
  <si>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</si>
  <si>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</si>
  <si>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</si>
  <si>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</si>
  <si>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</si>
  <si>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</si>
  <si>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</si>
  <si>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</si>
  <si>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</si>
  <si>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</si>
  <si>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</si>
  <si>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</si>
  <si>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</si>
  <si>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</si>
  <si>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</si>
  <si>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</si>
  <si>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</si>
  <si>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</si>
  <si>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</si>
  <si>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</si>
  <si>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</si>
  <si>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</si>
  <si>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</si>
  <si>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</si>
  <si>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</si>
  <si>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</si>
  <si>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</si>
  <si>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</si>
  <si>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</si>
  <si>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</si>
  <si>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</si>
  <si>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</si>
  <si>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</si>
  <si>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</si>
  <si>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</si>
  <si>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</si>
  <si>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</si>
  <si>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</si>
  <si>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</si>
  <si>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</si>
  <si>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</si>
  <si>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</si>
  <si>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</si>
  <si>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</si>
  <si>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</si>
  <si>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</si>
  <si>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</si>
  <si>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</si>
  <si>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</si>
  <si>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</si>
  <si>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</si>
  <si>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</si>
  <si>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</si>
  <si>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</si>
  <si>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</si>
  <si>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</si>
  <si>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</si>
  <si>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</si>
  <si>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</si>
  <si>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</si>
  <si>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</si>
  <si>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</si>
  <si>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</si>
  <si>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</si>
  <si>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</si>
  <si>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</si>
  <si>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</si>
  <si>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</si>
  <si>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</si>
  <si>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</si>
  <si>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</si>
  <si>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</si>
  <si>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</si>
  <si>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</si>
  <si>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</si>
  <si>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</si>
  <si>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</si>
  <si>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</si>
  <si>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</si>
  <si>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</si>
  <si>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</si>
  <si>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</si>
  <si>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</si>
  <si>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</si>
  <si>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</si>
  <si>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</si>
  <si>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</si>
  <si>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</si>
  <si>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</si>
  <si>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</si>
  <si>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</si>
  <si>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</si>
  <si>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</si>
  <si>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</si>
  <si>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</si>
  <si>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</si>
  <si>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</si>
  <si>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</si>
  <si>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</si>
  <si>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</si>
  <si>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</si>
  <si>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</si>
  <si>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</si>
  <si>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</si>
  <si>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</si>
  <si>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</si>
  <si>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</si>
  <si>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</si>
  <si>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</si>
  <si>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</si>
  <si>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</si>
  <si>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</si>
  <si>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</si>
  <si>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</si>
  <si>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</si>
  <si>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</si>
  <si>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</si>
  <si>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</si>
  <si>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</si>
  <si>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</si>
  <si>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</si>
  <si>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</si>
  <si>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</si>
  <si>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</si>
  <si>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</si>
  <si>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</si>
  <si>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</si>
  <si>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</si>
  <si>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</si>
  <si>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</si>
  <si>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</si>
  <si>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</si>
  <si>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</si>
  <si>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</si>
  <si>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</si>
  <si>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</si>
  <si>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</si>
  <si>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</si>
  <si>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</si>
  <si>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</si>
  <si>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</si>
  <si>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</si>
  <si>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</si>
  <si>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</si>
  <si>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</si>
  <si>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</si>
  <si>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</si>
  <si>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</si>
  <si>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</si>
  <si>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</si>
  <si>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</si>
  <si>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</si>
  <si>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</si>
  <si>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</si>
  <si>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</si>
  <si>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</si>
  <si>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</si>
  <si>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</si>
  <si>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</si>
  <si>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</si>
  <si>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</si>
  <si>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</si>
  <si>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</si>
  <si>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</si>
  <si>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</si>
  <si>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</si>
  <si>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</si>
  <si>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</si>
  <si>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</si>
  <si>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</si>
  <si>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</si>
  <si>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</si>
  <si>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</si>
  <si>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</si>
  <si>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</si>
  <si>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</si>
  <si>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</si>
  <si>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</si>
  <si>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</si>
  <si>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</si>
  <si>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</si>
  <si>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</si>
  <si>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</si>
  <si>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</si>
  <si>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</si>
  <si>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</si>
  <si>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</si>
  <si>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</si>
  <si>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</si>
  <si>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</si>
  <si>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</si>
  <si>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</si>
  <si>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</si>
  <si>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</si>
  <si>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</si>
  <si>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</si>
  <si>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</si>
  <si>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</si>
  <si>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</si>
  <si>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</si>
  <si>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</si>
  <si>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</si>
  <si>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</si>
  <si>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</si>
  <si>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</si>
  <si>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</si>
  <si>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</si>
  <si>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</si>
  <si>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</si>
  <si>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</si>
  <si>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</si>
  <si>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</si>
  <si>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</si>
  <si>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</si>
  <si>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</si>
  <si>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</si>
  <si>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</si>
  <si>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</si>
  <si>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</si>
  <si>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</si>
  <si>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</si>
  <si>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</si>
  <si>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</si>
  <si>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</si>
  <si>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</si>
  <si>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</si>
  <si>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</si>
  <si>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</si>
  <si>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</si>
  <si>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</si>
  <si>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</si>
  <si>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</si>
  <si>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</si>
  <si>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</si>
  <si>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</si>
  <si>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</si>
  <si>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</si>
  <si>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</si>
  <si>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</si>
  <si>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</si>
  <si>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</si>
  <si>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</si>
  <si>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</si>
  <si>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</si>
  <si>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</si>
  <si>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</si>
  <si>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</si>
  <si>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</si>
  <si>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</si>
  <si>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</si>
  <si>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</si>
  <si>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</si>
  <si>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</si>
  <si>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</si>
  <si>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</si>
  <si>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</si>
  <si>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</si>
  <si>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</si>
  <si>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</si>
  <si>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</si>
  <si>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</si>
  <si>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</si>
  <si>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</si>
  <si>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</si>
  <si>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</si>
  <si>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</si>
  <si>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</si>
  <si>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</si>
  <si>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</si>
  <si>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</si>
  <si>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</si>
  <si>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</si>
  <si>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</si>
  <si>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</si>
  <si>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</si>
  <si>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</si>
  <si>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</si>
  <si>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</si>
  <si>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</si>
  <si>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</si>
  <si>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</si>
  <si>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</si>
  <si>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</si>
  <si>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</si>
  <si>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</si>
  <si>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</si>
  <si>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</si>
  <si>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</si>
  <si>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</si>
  <si>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</si>
  <si>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</si>
  <si>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</si>
  <si>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</si>
  <si>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</si>
  <si>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</si>
  <si>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</si>
  <si>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</si>
  <si>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</si>
  <si>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</si>
  <si>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</si>
  <si>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</si>
  <si>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</si>
  <si>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</si>
  <si>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</si>
  <si>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</si>
  <si>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</si>
  <si>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</si>
  <si>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</si>
  <si>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</si>
  <si>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</si>
  <si>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</si>
  <si>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</si>
  <si>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</si>
  <si>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</si>
  <si>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</si>
  <si>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</si>
  <si>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</si>
  <si>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</si>
  <si>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</si>
  <si>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</si>
  <si>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</si>
  <si>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</si>
  <si>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</si>
  <si>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</si>
  <si>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</si>
  <si>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</si>
  <si>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</si>
  <si>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</si>
  <si>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</si>
  <si>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</si>
  <si>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</si>
  <si>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</si>
  <si>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</si>
  <si>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</si>
  <si>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</si>
  <si>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</si>
  <si>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</si>
  <si>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</si>
  <si>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</si>
  <si>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</si>
  <si>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</si>
  <si>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</si>
  <si>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</si>
  <si>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</si>
  <si>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</si>
  <si>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</si>
  <si>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</si>
  <si>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</si>
  <si>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</si>
  <si>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</si>
  <si>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</si>
  <si>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</si>
  <si>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</si>
  <si>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</si>
  <si>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</si>
  <si>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</si>
  <si>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</si>
  <si>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</si>
  <si>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</si>
  <si>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</si>
  <si>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</si>
  <si>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</si>
  <si>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</si>
  <si>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</si>
  <si>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</si>
  <si>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</si>
  <si>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</si>
  <si>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</si>
  <si>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</si>
  <si>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</si>
  <si>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</si>
  <si>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</si>
  <si>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</si>
  <si>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</si>
  <si>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</si>
  <si>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</si>
  <si>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</si>
  <si>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</si>
  <si>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</si>
  <si>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</si>
  <si>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</si>
  <si>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</si>
  <si>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</si>
  <si>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</si>
  <si>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</si>
  <si>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</si>
  <si>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</si>
  <si>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</si>
  <si>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</si>
  <si>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</si>
  <si>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</si>
  <si>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</si>
  <si>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</si>
  <si>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</si>
  <si>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</si>
  <si>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</si>
  <si>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</si>
  <si>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</si>
  <si>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</si>
  <si>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</si>
  <si>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</si>
  <si>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</si>
  <si>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</si>
  <si>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</si>
  <si>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</si>
  <si>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</si>
  <si>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</si>
  <si>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</si>
  <si>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</si>
  <si>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</si>
  <si>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</si>
  <si>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</si>
  <si>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</si>
  <si>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</si>
  <si>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</si>
  <si>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</si>
  <si>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</si>
  <si>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</si>
  <si>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</si>
  <si>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</si>
  <si>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</si>
  <si>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</si>
  <si>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</si>
  <si>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</si>
  <si>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</si>
  <si>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</si>
  <si>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</si>
  <si>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</si>
  <si>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</si>
  <si>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</si>
  <si>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</si>
  <si>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</si>
  <si>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</si>
  <si>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</si>
  <si>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</si>
  <si>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</si>
  <si>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</si>
  <si>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</si>
  <si>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</si>
  <si>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</si>
  <si>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</si>
  <si>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</si>
  <si>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</si>
  <si>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</si>
  <si>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</si>
  <si>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</si>
  <si>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</si>
  <si>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</si>
  <si>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</si>
  <si>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</si>
  <si>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</si>
  <si>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</si>
  <si>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</si>
  <si>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</si>
  <si>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</si>
  <si>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</si>
  <si>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</si>
  <si>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</si>
  <si>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</si>
  <si>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</si>
  <si>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</si>
  <si>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</si>
  <si>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</si>
  <si>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</si>
  <si>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</si>
  <si>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</si>
  <si>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</si>
  <si>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</si>
  <si>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</si>
  <si>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</si>
  <si>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</si>
  <si>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</si>
  <si>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</si>
  <si>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</si>
  <si>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</si>
  <si>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</si>
  <si>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</si>
  <si>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</si>
  <si>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</si>
  <si>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</si>
  <si>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</si>
  <si>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</si>
  <si>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</si>
  <si>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</si>
  <si>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</si>
  <si>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</si>
  <si>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</si>
  <si>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</si>
  <si>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</si>
  <si>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</si>
  <si>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</si>
  <si>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</si>
  <si>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</si>
  <si>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</si>
  <si>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</si>
  <si>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</si>
  <si>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</si>
  <si>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</si>
  <si>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</si>
  <si>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</si>
  <si>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</si>
  <si>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</si>
  <si>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</si>
  <si>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</si>
  <si>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</si>
  <si>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</si>
  <si>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</si>
  <si>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</si>
  <si>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</si>
  <si>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</si>
  <si>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</si>
  <si>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</si>
  <si>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</si>
  <si>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</si>
  <si>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</si>
  <si>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</si>
  <si>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</si>
  <si>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</si>
  <si>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</si>
  <si>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</si>
  <si>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</si>
  <si>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</si>
  <si>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</si>
  <si>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</si>
  <si>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</si>
  <si>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</si>
  <si>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</si>
  <si>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</si>
  <si>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</si>
  <si>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</si>
  <si>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</si>
  <si>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</si>
  <si>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</si>
  <si>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</si>
  <si>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</si>
  <si>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</si>
  <si>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</si>
  <si>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</si>
  <si>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</si>
  <si>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</si>
  <si>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</si>
  <si>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</si>
  <si>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</si>
  <si>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</si>
  <si>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</si>
  <si>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</si>
  <si>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</si>
  <si>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</si>
  <si>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</si>
  <si>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</si>
  <si>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</si>
  <si>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</si>
  <si>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</si>
  <si>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</si>
  <si>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</si>
  <si>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</si>
  <si>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</si>
  <si>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</si>
  <si>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</si>
  <si>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</si>
  <si>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</si>
  <si>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</si>
  <si>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</si>
  <si>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</si>
  <si>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</si>
  <si>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</si>
  <si>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</si>
  <si>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</si>
  <si>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</si>
  <si>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</si>
  <si>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</si>
  <si>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</si>
  <si>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</si>
  <si>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</si>
  <si>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</si>
  <si>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</si>
  <si>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</si>
  <si>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</si>
  <si>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</si>
  <si>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</si>
  <si>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</si>
  <si>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</si>
  <si>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</si>
  <si>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</si>
  <si>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</si>
  <si>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</si>
  <si>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</si>
  <si>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</si>
  <si>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</si>
  <si>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</si>
  <si>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</si>
  <si>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</si>
  <si>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</si>
  <si>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</si>
  <si>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</si>
  <si>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</si>
  <si>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</si>
  <si>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</si>
  <si>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</si>
  <si>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</si>
  <si>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</si>
  <si>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</si>
  <si>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</si>
  <si>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</si>
  <si>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</si>
  <si>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</si>
  <si>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</si>
  <si>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</si>
  <si>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</si>
  <si>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</si>
  <si>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</si>
  <si>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</si>
  <si>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</si>
  <si>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</si>
  <si>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</si>
  <si>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</si>
  <si>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</si>
  <si>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</si>
  <si>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</si>
  <si>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</si>
  <si>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</si>
  <si>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</si>
  <si>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</si>
  <si>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</si>
  <si>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</si>
  <si>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</si>
  <si>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</si>
  <si>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</si>
  <si>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</si>
  <si>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</si>
  <si>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</si>
  <si>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</si>
  <si>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</si>
  <si>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</si>
  <si>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</si>
  <si>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</si>
  <si>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</si>
  <si>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</si>
  <si>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</si>
  <si>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</si>
  <si>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</si>
  <si>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</si>
  <si>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</si>
  <si>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</si>
  <si>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</si>
  <si>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</si>
  <si>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</si>
  <si>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</si>
  <si>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</si>
  <si>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</si>
  <si>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</si>
  <si>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</si>
  <si>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</si>
  <si>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</si>
  <si>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</si>
  <si>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</si>
  <si>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</si>
  <si>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</si>
  <si>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</si>
  <si>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</si>
  <si>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</si>
  <si>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</si>
  <si>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</si>
  <si>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</si>
  <si>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</si>
  <si>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</si>
  <si>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</si>
  <si>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</si>
  <si>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</si>
  <si>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</si>
  <si>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</si>
  <si>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</si>
  <si>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</si>
  <si>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</si>
  <si>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</si>
  <si>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</si>
  <si>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</si>
  <si>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</si>
  <si>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</si>
  <si>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</si>
  <si>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</si>
  <si>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</si>
  <si>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</si>
  <si>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</si>
  <si>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</si>
  <si>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</si>
  <si>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</si>
  <si>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</si>
  <si>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</si>
  <si>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</si>
  <si>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</si>
  <si>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</si>
  <si>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</si>
  <si>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</si>
  <si>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</si>
  <si>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</si>
  <si>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</si>
  <si>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</si>
  <si>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</si>
  <si>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</si>
  <si>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</si>
  <si>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</si>
  <si>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</si>
  <si>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</si>
  <si>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</si>
  <si>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</si>
  <si>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</si>
  <si>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</si>
  <si>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</si>
  <si>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</si>
  <si>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</si>
  <si>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</si>
  <si>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</si>
  <si>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</si>
  <si>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</si>
  <si>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</si>
  <si>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</si>
  <si>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</si>
  <si>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</si>
  <si>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</si>
  <si>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</si>
  <si>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</si>
  <si>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</si>
  <si>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</si>
  <si>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</si>
  <si>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</si>
  <si>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</si>
  <si>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</si>
  <si>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</si>
  <si>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</si>
  <si>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</si>
  <si>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</si>
  <si>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</si>
  <si>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</si>
  <si>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</si>
  <si>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</si>
  <si>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</si>
  <si>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</si>
  <si>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</si>
  <si>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</si>
  <si>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</si>
  <si>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</si>
  <si>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</si>
  <si>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</si>
  <si>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</si>
  <si>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</si>
  <si>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</si>
  <si>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เจษฎา คำสีทา</t>
  </si>
  <si>
    <t>IT</t>
  </si>
  <si>
    <t>จรัสพงศ์ นิลหล้า</t>
  </si>
  <si>
    <t>พัดลมดูดอากาศห้อง Server</t>
  </si>
  <si>
    <t>พัดลมดูดอากาศห้อง Server ไม่ติด</t>
  </si>
  <si>
    <t>เปิดสวิต</t>
  </si>
  <si>
    <t>1ชม.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</si>
</sst>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[$-409]d\-mmm\-yy;@"/>
    <numFmt numFmtId="166" formatCode="[$-809]dd\ mmmm\ yyyy;@"/>
    <numFmt numFmtId="167" formatCode="[$-1000000]h:mm:ss\ AM/PM;@"/>
    <numFmt numFmtId="168" formatCode="[$-1010409]d\ mmm\ yy;@"/>
    <numFmt numFmtId="169" formatCode="[$-409]h:mm\ AM/PM;@"/>
    <numFmt numFmtId="170" formatCode="[$-F800]dddd\,\ mmmm\ dd\,\ yyyy"/>
    <numFmt numFmtId="171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164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164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6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7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5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8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8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7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9" fontId="4" fillId="2" borderId="6" xfId="0" applyNumberFormat="1" applyFont="1" applyFill="1" applyBorder="1" applyAlignment="1">
      <alignment horizontal="center" vertical="center"/>
    </xf>
    <xf numFmtId="169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5" fontId="4" fillId="2" borderId="6" xfId="0" applyNumberFormat="1" applyFont="1" applyFill="1" applyBorder="1" applyAlignment="1">
      <alignment horizontal="left" vertical="center"/>
    </xf>
    <xf numFmtId="165" fontId="4" fillId="2" borderId="5" xfId="0" applyNumberFormat="1" applyFont="1" applyFill="1" applyBorder="1" applyAlignment="1">
      <alignment horizontal="left" vertical="center"/>
    </xf>
    <xf numFmtId="169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5" fontId="67" fillId="0" borderId="0" xfId="0" applyNumberFormat="1" applyFont="1" applyAlignment="1" applyProtection="1">
      <alignment horizontal="center"/>
      <protection hidden="1"/>
    </xf>
    <xf numFmtId="171" fontId="67" fillId="0" borderId="0" xfId="0" applyNumberFormat="1" applyFont="1" applyAlignment="1" applyProtection="1">
      <alignment horizontal="center"/>
      <protection hidden="1"/>
    </xf>
    <xf numFmtId="169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9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9" fontId="4" fillId="8" borderId="6" xfId="0" applyNumberFormat="1" applyFont="1" applyFill="1" applyBorder="1" applyAlignment="1">
      <alignment horizontal="center" vertical="center"/>
    </xf>
    <xf numFmtId="171" fontId="4" fillId="8" borderId="6" xfId="0" applyNumberFormat="1" applyFont="1" applyFill="1" applyBorder="1" applyAlignment="1">
      <alignment horizontal="center" vertical="center"/>
    </xf>
    <xf numFmtId="171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70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5" fontId="4" fillId="8" borderId="5" xfId="0" applyNumberFormat="1" applyFont="1" applyFill="1" applyBorder="1" applyAlignment="1">
      <alignment horizontal="center" vertical="center"/>
    </xf>
    <xf numFmtId="169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9" fontId="4" fillId="2" borderId="5" xfId="0" applyNumberFormat="1" applyFont="1" applyFill="1" applyBorder="1" applyAlignment="1">
      <alignment horizontal="left" vertical="center"/>
    </xf>
    <xf numFmtId="171" fontId="4" fillId="8" borderId="5" xfId="0" applyNumberFormat="1" applyFont="1" applyFill="1" applyBorder="1" applyAlignment="1">
      <alignment horizontal="center" vertical="center"/>
    </xf>
    <xf numFmtId="171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5" fontId="4" fillId="2" borderId="66" xfId="0" applyNumberFormat="1" applyFont="1" applyFill="1" applyBorder="1" applyAlignment="1">
      <alignment horizontal="left" vertical="center"/>
    </xf>
    <xf numFmtId="169" fontId="4" fillId="2" borderId="66" xfId="0" applyNumberFormat="1" applyFont="1" applyFill="1" applyBorder="1" applyAlignment="1">
      <alignment horizontal="center" vertical="center"/>
    </xf>
    <xf numFmtId="169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5" fontId="4" fillId="8" borderId="67" xfId="0" applyNumberFormat="1" applyFont="1" applyFill="1" applyBorder="1" applyAlignment="1">
      <alignment horizontal="center" vertical="center"/>
    </xf>
    <xf numFmtId="169" fontId="4" fillId="8" borderId="67" xfId="0" applyNumberFormat="1" applyFont="1" applyFill="1" applyBorder="1" applyAlignment="1">
      <alignment horizontal="center" vertical="center"/>
    </xf>
    <xf numFmtId="171" fontId="4" fillId="8" borderId="67" xfId="0" applyNumberFormat="1" applyFont="1" applyFill="1" applyBorder="1" applyAlignment="1">
      <alignment horizontal="center" vertical="center"/>
    </xf>
    <xf numFmtId="171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5" fontId="4" fillId="8" borderId="5" xfId="0" applyNumberFormat="1" applyFont="1" applyFill="1" applyBorder="1" applyAlignment="1">
      <alignment horizontal="left" vertical="center"/>
    </xf>
    <xf numFmtId="169" fontId="4" fillId="8" borderId="6" xfId="0" quotePrefix="1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62" fillId="0" borderId="41" xfId="0" applyFont="1" applyBorder="1" applyAlignment="1">
      <alignment horizontal="center" vertical="center"/>
    </xf>
    <xf numFmtId="0" fontId="32" fillId="12" borderId="3" xfId="0" applyFont="1" applyFill="1" applyBorder="1" applyAlignment="1">
      <alignment horizontal="left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/>
    </xf>
    <xf numFmtId="0" fontId="25" fillId="0" borderId="0" xfId="0" applyFont="1" applyAlignment="1">
      <alignment horizontal="center" vertical="center"/>
    </xf>
    <xf numFmtId="0" fontId="25" fillId="0" borderId="33" xfId="0" applyFont="1" applyBorder="1" applyAlignment="1">
      <alignment horizontal="right" vertical="center"/>
    </xf>
    <xf numFmtId="0" fontId="25" fillId="0" borderId="0" xfId="0" applyFont="1" applyAlignment="1">
      <alignment horizontal="right" vertic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20" fontId="81" fillId="12" borderId="29" xfId="0" applyNumberFormat="1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84" fillId="12" borderId="0" xfId="0" applyNumberFormat="1" applyFont="1" applyFill="1" applyAlignment="1">
      <alignment horizontal="left" vertical="center"/>
    </xf>
    <xf numFmtId="169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5" xfId="0" applyFont="1" applyBorder="1" applyAlignment="1">
      <alignment horizont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17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1047750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689102" y="309563"/>
          <a:ext cx="1157292" cy="381000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389688" y="123824"/>
          <a:ext cx="866006" cy="602457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644073" y="83347"/>
          <a:ext cx="6179334" cy="750092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394607" y="495300"/>
          <a:ext cx="2383971" cy="489857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898233" y="3262316"/>
          <a:ext cx="1280160" cy="354804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4895854" y="3831439"/>
          <a:ext cx="1280160" cy="361949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453196" y="4388637"/>
          <a:ext cx="1280160" cy="361950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513570" y="6722293"/>
          <a:ext cx="1280160" cy="361950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533334" y="4283300"/>
          <a:ext cx="1359693" cy="581025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522253" y="5448293"/>
          <a:ext cx="1280160" cy="371475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4891562" y="6684195"/>
          <a:ext cx="1280160" cy="361950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851794" y="7677186"/>
          <a:ext cx="1359693" cy="581025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3413" y="321469"/>
          <a:ext cx="1589626" cy="264477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topLeftCell="P1" zoomScale="80" zoomScaleNormal="80" workbookViewId="0">
      <pane ySplit="10" topLeftCell="A71" activePane="bottomLeft" state="frozen"/>
      <selection pane="bottomLeft" activeCell="AD71" sqref="AD71"/>
    </sheetView>
  </sheetViews>
  <sheetFormatPr defaultColWidth="9" defaultRowHeight="18" customHeight="1"/>
  <cols>
    <col min="1" max="1" width="0.42578125" style="1" customWidth="1"/>
    <col min="2" max="2" width="2.42578125" style="1" customWidth="1"/>
    <col min="3" max="3" width="0.42578125" style="1" customWidth="1"/>
    <col min="4" max="4" width="8.42578125" style="9" customWidth="1"/>
    <col min="5" max="5" width="12.42578125" style="10" bestFit="1" customWidth="1"/>
    <col min="6" max="6" width="14.42578125" style="1" bestFit="1" customWidth="1"/>
    <col min="7" max="7" width="15.42578125" style="1" bestFit="1" customWidth="1"/>
    <col min="8" max="8" width="16.42578125" style="32" bestFit="1" customWidth="1"/>
    <col min="9" max="9" width="12.42578125" style="1" customWidth="1"/>
    <col min="10" max="10" width="12.42578125" style="145" customWidth="1"/>
    <col min="11" max="11" width="13.42578125" style="1" customWidth="1"/>
    <col min="12" max="12" width="15.42578125" style="1" bestFit="1" customWidth="1"/>
    <col min="13" max="13" width="20" style="1" bestFit="1" customWidth="1"/>
    <col min="14" max="14" width="18.42578125" style="32" customWidth="1"/>
    <col min="15" max="15" width="51.42578125" style="32" bestFit="1" customWidth="1"/>
    <col min="16" max="16" width="21.42578125" style="128" bestFit="1" customWidth="1"/>
    <col min="17" max="17" width="30.42578125" style="128" customWidth="1"/>
    <col min="18" max="18" width="18.42578125" style="129" bestFit="1" customWidth="1"/>
    <col min="19" max="19" width="24.42578125" style="130" bestFit="1" customWidth="1"/>
    <col min="20" max="20" width="19.42578125" style="130" bestFit="1" customWidth="1"/>
    <col min="21" max="21" width="10.42578125" style="218" bestFit="1" customWidth="1"/>
    <col min="22" max="22" width="24.42578125" style="130" bestFit="1" customWidth="1"/>
    <col min="23" max="23" width="18" style="130" bestFit="1" customWidth="1"/>
    <col min="24" max="24" width="11.42578125" style="130" customWidth="1"/>
    <col min="25" max="25" width="13.42578125" style="128" customWidth="1"/>
    <col min="26" max="26" width="10.42578125" style="134" bestFit="1" customWidth="1"/>
    <col min="27" max="27" width="10.42578125" style="136" bestFit="1" customWidth="1"/>
    <col min="28" max="28" width="11.42578125" style="134" bestFit="1" customWidth="1"/>
    <col min="29" max="29" width="11" style="136" customWidth="1"/>
    <col min="30" max="30" width="10.42578125" style="155" bestFit="1" customWidth="1"/>
    <col min="31" max="31" width="9.42578125" style="135" bestFit="1" customWidth="1"/>
    <col min="32" max="32" width="18" style="32" bestFit="1" customWidth="1"/>
    <col min="33" max="33" width="21.42578125" style="32" bestFit="1" customWidth="1"/>
    <col min="34" max="34" width="20.42578125" style="1" customWidth="1"/>
    <col min="35" max="35" width="1.42578125" style="1" customWidth="1"/>
    <col min="36" max="16384" width="9" style="42"/>
  </cols>
  <sheetData>
    <row r="1" spans="1:35" ht="10.15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149999999999999" customHeight="1">
      <c r="D2" s="119" t="s">
        <v>149</v>
      </c>
      <c r="E2" s="46"/>
      <c r="F2" s="5"/>
      <c r="G2" s="46"/>
      <c r="H2" s="46"/>
      <c r="I2" s="254">
        <v>17</v>
      </c>
      <c r="J2" s="255" t="str">
        <f ca="1">IFERROR(VLOOKUP(I2,JOB_NO,2,0),0)</f>
        <v>EN-26-017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149999999999999" customHeight="1">
      <c r="D3" s="46" t="s">
        <v>286</v>
      </c>
      <c r="E3" s="46"/>
      <c r="F3" s="5"/>
      <c r="G3" s="46"/>
      <c r="H3" s="46"/>
      <c r="I3" s="254"/>
      <c r="J3" s="255"/>
      <c r="K3" s="29"/>
      <c r="L3" s="29"/>
      <c r="M3" s="29"/>
      <c r="N3" s="33"/>
      <c r="O3" s="29"/>
      <c r="P3" s="51"/>
      <c r="Q3" s="29"/>
      <c r="R3" s="33" t="s">
        <v>380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149999999999999" customHeight="1">
      <c r="A4" s="25"/>
      <c r="B4" s="249" t="s">
        <v>371</v>
      </c>
      <c r="C4" s="25"/>
      <c r="D4" s="253" t="s">
        <v>1</v>
      </c>
      <c r="E4" s="253"/>
      <c r="F4" s="41" t="s">
        <v>385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383</v>
      </c>
      <c r="AI4" s="27"/>
    </row>
    <row r="5" spans="1:35" ht="4.9000000000000004" customHeight="1">
      <c r="B5" s="249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15" customHeight="1">
      <c r="B6" s="249"/>
      <c r="D6" s="251" t="s">
        <v>384</v>
      </c>
      <c r="E6" s="252"/>
      <c r="F6" s="252"/>
      <c r="G6" s="252"/>
      <c r="H6" s="252"/>
      <c r="I6" s="250" t="s">
        <v>285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13" t="s">
        <v>3</v>
      </c>
      <c r="AG6" s="199">
        <f ca="1">TODAY()</f>
        <v>46220</v>
      </c>
      <c r="AH6" s="40">
        <f ca="1">NOW()</f>
        <v>46220.884285532411</v>
      </c>
    </row>
    <row r="7" spans="1:35" ht="4.1500000000000004" customHeight="1">
      <c r="B7" s="249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49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245</v>
      </c>
      <c r="Q8" s="49" t="s">
        <v>246</v>
      </c>
      <c r="R8" s="24" t="s">
        <v>244</v>
      </c>
      <c r="S8" s="24" t="s">
        <v>266</v>
      </c>
      <c r="T8" s="24" t="s">
        <v>257</v>
      </c>
      <c r="U8" s="24" t="s">
        <v>256</v>
      </c>
      <c r="V8" s="24" t="s">
        <v>247</v>
      </c>
      <c r="W8" s="24" t="s">
        <v>268</v>
      </c>
      <c r="X8" s="24" t="s">
        <v>262</v>
      </c>
      <c r="Y8" s="24" t="s">
        <v>248</v>
      </c>
      <c r="Z8" s="23" t="s">
        <v>249</v>
      </c>
      <c r="AA8" s="23" t="s">
        <v>250</v>
      </c>
      <c r="AB8" s="23" t="s">
        <v>251</v>
      </c>
      <c r="AC8" s="23" t="s">
        <v>252</v>
      </c>
      <c r="AD8" s="23" t="s">
        <v>253</v>
      </c>
      <c r="AE8" s="23" t="s">
        <v>254</v>
      </c>
      <c r="AF8" s="23" t="s">
        <v>255</v>
      </c>
      <c r="AG8" s="23" t="s">
        <v>8</v>
      </c>
      <c r="AH8" s="34" t="s">
        <v>4</v>
      </c>
      <c r="AI8" s="5"/>
    </row>
    <row r="9" spans="1:35" ht="1.9" customHeight="1">
      <c r="B9" s="249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49"/>
      <c r="C10" s="8"/>
      <c r="D10" s="39" t="s">
        <v>5</v>
      </c>
      <c r="E10" s="17" t="s">
        <v>11</v>
      </c>
      <c r="F10" s="20" t="s">
        <v>283</v>
      </c>
      <c r="G10" s="18" t="s">
        <v>13</v>
      </c>
      <c r="H10" s="19" t="s">
        <v>271</v>
      </c>
      <c r="I10" s="18" t="s">
        <v>382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171</v>
      </c>
      <c r="Q10" s="50" t="s">
        <v>201</v>
      </c>
      <c r="R10" s="17" t="s">
        <v>243</v>
      </c>
      <c r="S10" s="17" t="s">
        <v>202</v>
      </c>
      <c r="T10" s="17" t="s">
        <v>284</v>
      </c>
      <c r="U10" s="17" t="s">
        <v>46</v>
      </c>
      <c r="V10" s="17" t="s">
        <v>234</v>
      </c>
      <c r="W10" s="17" t="s">
        <v>267</v>
      </c>
      <c r="X10" s="17" t="s">
        <v>207</v>
      </c>
      <c r="Y10" s="17" t="s">
        <v>209</v>
      </c>
      <c r="Z10" s="20" t="s">
        <v>213</v>
      </c>
      <c r="AA10" s="20" t="s">
        <v>214</v>
      </c>
      <c r="AB10" s="20" t="s">
        <v>215</v>
      </c>
      <c r="AC10" s="20" t="s">
        <v>216</v>
      </c>
      <c r="AD10" s="20" t="s">
        <v>214</v>
      </c>
      <c r="AE10" s="20" t="s">
        <v>217</v>
      </c>
      <c r="AF10" s="23" t="s">
        <v>210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380</v>
      </c>
      <c r="D11" s="13">
        <v>1</v>
      </c>
      <c r="E11" s="13" t="s">
        <v>386</v>
      </c>
      <c r="F11" s="13" t="s">
        <v>155</v>
      </c>
      <c r="G11" s="117" t="s">
        <v>377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688</v>
      </c>
      <c r="P11" s="147" t="s">
        <v>178</v>
      </c>
      <c r="Q11" s="147" t="s">
        <v>366</v>
      </c>
      <c r="R11" s="148" t="s">
        <v>289</v>
      </c>
      <c r="S11" s="148" t="s">
        <v>689</v>
      </c>
      <c r="T11" s="148" t="s">
        <v>358</v>
      </c>
      <c r="U11" s="216" t="s">
        <v>292</v>
      </c>
      <c r="V11" s="148" t="s">
        <v>203</v>
      </c>
      <c r="W11" s="148" t="s">
        <v>289</v>
      </c>
      <c r="X11" s="149" t="s">
        <v>239</v>
      </c>
      <c r="Y11" s="148" t="s">
        <v>361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289</v>
      </c>
    </row>
    <row r="12" spans="1:35" ht="18" hidden="1" customHeight="1">
      <c r="D12" s="15">
        <v>2</v>
      </c>
      <c r="E12" s="13" t="s">
        <v>387</v>
      </c>
      <c r="F12" s="15" t="s">
        <v>153</v>
      </c>
      <c r="G12" s="118" t="s">
        <v>123</v>
      </c>
      <c r="H12" s="126" t="s">
        <v>168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289</v>
      </c>
      <c r="N12" s="127" t="s">
        <v>690</v>
      </c>
      <c r="O12" s="16" t="s">
        <v>691</v>
      </c>
      <c r="P12" s="147" t="s">
        <v>173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388</v>
      </c>
      <c r="F13" s="15" t="s">
        <v>153</v>
      </c>
      <c r="G13" s="118" t="s">
        <v>123</v>
      </c>
      <c r="H13" s="126" t="s">
        <v>168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289</v>
      </c>
      <c r="N13" s="127" t="s">
        <v>692</v>
      </c>
      <c r="O13" s="16" t="s">
        <v>691</v>
      </c>
      <c r="P13" s="147" t="s">
        <v>173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389</v>
      </c>
      <c r="F14" s="15" t="s">
        <v>153</v>
      </c>
      <c r="G14" s="118" t="s">
        <v>230</v>
      </c>
      <c r="H14" s="126" t="s">
        <v>379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289</v>
      </c>
      <c r="N14" s="127" t="s">
        <v>693</v>
      </c>
      <c r="O14" s="16" t="s">
        <v>694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390</v>
      </c>
      <c r="F15" s="15" t="s">
        <v>153</v>
      </c>
      <c r="G15" s="118" t="s">
        <v>230</v>
      </c>
      <c r="H15" s="126" t="s">
        <v>379</v>
      </c>
      <c r="I15" s="14">
        <v>46154</v>
      </c>
      <c r="J15" s="48">
        <v>0.46180555555555602</v>
      </c>
      <c r="K15" s="118" t="s">
        <v>365</v>
      </c>
      <c r="L15" s="118" t="s">
        <v>140</v>
      </c>
      <c r="M15" s="118" t="s">
        <v>289</v>
      </c>
      <c r="N15" s="127" t="s">
        <v>695</v>
      </c>
      <c r="O15" s="16" t="s">
        <v>696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391</v>
      </c>
      <c r="F16" s="15" t="s">
        <v>153</v>
      </c>
      <c r="G16" s="118" t="s">
        <v>230</v>
      </c>
      <c r="H16" s="126" t="s">
        <v>379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289</v>
      </c>
      <c r="N16" s="127" t="s">
        <v>697</v>
      </c>
      <c r="O16" s="16" t="s">
        <v>698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392</v>
      </c>
      <c r="F17" s="15" t="s">
        <v>153</v>
      </c>
      <c r="G17" s="118" t="s">
        <v>230</v>
      </c>
      <c r="H17" s="126" t="s">
        <v>379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289</v>
      </c>
      <c r="N17" s="127" t="s">
        <v>697</v>
      </c>
      <c r="O17" s="16" t="s">
        <v>698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393</v>
      </c>
      <c r="F18" s="15" t="s">
        <v>155</v>
      </c>
      <c r="G18" s="118" t="s">
        <v>100</v>
      </c>
      <c r="H18" s="126" t="s">
        <v>228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699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394</v>
      </c>
      <c r="F19" s="15" t="s">
        <v>153</v>
      </c>
      <c r="G19" s="118" t="s">
        <v>101</v>
      </c>
      <c r="H19" s="126" t="s">
        <v>368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700</v>
      </c>
      <c r="O19" s="16" t="s">
        <v>701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395</v>
      </c>
      <c r="F20" s="15" t="s">
        <v>153</v>
      </c>
      <c r="G20" s="118" t="s">
        <v>100</v>
      </c>
      <c r="H20" s="126" t="s">
        <v>228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702</v>
      </c>
      <c r="O20" s="127" t="s">
        <v>703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396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704</v>
      </c>
      <c r="O21" s="16" t="s">
        <v>705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397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706</v>
      </c>
      <c r="O22" s="16" t="s">
        <v>707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398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708</v>
      </c>
      <c r="O23" s="16" t="s">
        <v>709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399</v>
      </c>
      <c r="F24" s="15" t="s">
        <v>153</v>
      </c>
      <c r="G24" s="118" t="s">
        <v>125</v>
      </c>
      <c r="H24" s="126" t="s">
        <v>710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711</v>
      </c>
      <c r="O24" s="16" t="s">
        <v>712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400</v>
      </c>
      <c r="F25" s="15" t="s">
        <v>155</v>
      </c>
      <c r="G25" s="118" t="s">
        <v>125</v>
      </c>
      <c r="H25" s="126" t="s">
        <v>710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713</v>
      </c>
      <c r="O25" s="16" t="s">
        <v>760</v>
      </c>
      <c r="P25" s="147" t="s">
        <v>173</v>
      </c>
      <c r="Q25" s="147" t="s">
        <v>786</v>
      </c>
      <c r="R25" s="147" t="s">
        <v>289</v>
      </c>
      <c r="S25" s="147"/>
      <c r="T25" s="147" t="s">
        <v>787</v>
      </c>
      <c r="U25" s="217" t="s">
        <v>788</v>
      </c>
      <c r="V25" s="147" t="s">
        <v>203</v>
      </c>
      <c r="W25" s="147"/>
      <c r="X25" s="154" t="s">
        <v>208</v>
      </c>
      <c r="Y25" s="147"/>
      <c r="Z25" s="150" t="s">
        <v>771</v>
      </c>
      <c r="AA25" s="151">
        <v>0.875</v>
      </c>
      <c r="AB25" s="150" t="s">
        <v>771</v>
      </c>
      <c r="AC25" s="151">
        <v>0.91666666666666663</v>
      </c>
      <c r="AD25" s="152"/>
      <c r="AE25" s="153"/>
      <c r="AF25" s="247" t="s">
        <v>710</v>
      </c>
      <c r="AG25" s="147" t="s">
        <v>164</v>
      </c>
      <c r="AH25" s="147"/>
    </row>
    <row r="26" spans="4:34" ht="18" hidden="1" customHeight="1">
      <c r="D26" s="15">
        <v>16</v>
      </c>
      <c r="E26" s="13" t="s">
        <v>401</v>
      </c>
      <c r="F26" s="15" t="s">
        <v>153</v>
      </c>
      <c r="G26" s="118" t="s">
        <v>124</v>
      </c>
      <c r="H26" s="126" t="s">
        <v>167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714</v>
      </c>
      <c r="O26" s="16" t="s">
        <v>715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402</v>
      </c>
      <c r="F27" s="15" t="s">
        <v>153</v>
      </c>
      <c r="G27" s="118" t="s">
        <v>139</v>
      </c>
      <c r="H27" s="126" t="s">
        <v>719</v>
      </c>
      <c r="I27" s="14">
        <v>46155</v>
      </c>
      <c r="J27" s="48" t="s">
        <v>718</v>
      </c>
      <c r="K27" s="118" t="s">
        <v>139</v>
      </c>
      <c r="L27" s="118" t="s">
        <v>141</v>
      </c>
      <c r="M27" s="118"/>
      <c r="N27" s="127" t="s">
        <v>716</v>
      </c>
      <c r="O27" s="16" t="s">
        <v>717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hidden="1" customHeight="1">
      <c r="D28" s="15">
        <v>18</v>
      </c>
      <c r="E28" s="13" t="s">
        <v>403</v>
      </c>
      <c r="F28" s="15" t="s">
        <v>153</v>
      </c>
      <c r="G28" s="118" t="s">
        <v>230</v>
      </c>
      <c r="H28" s="126" t="s">
        <v>287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720</v>
      </c>
      <c r="O28" s="16" t="s">
        <v>721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404</v>
      </c>
      <c r="F29" s="15" t="s">
        <v>156</v>
      </c>
      <c r="G29" s="118" t="s">
        <v>123</v>
      </c>
      <c r="H29" s="126" t="s">
        <v>168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722</v>
      </c>
      <c r="O29" s="16" t="s">
        <v>723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405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724</v>
      </c>
      <c r="P30" s="147"/>
      <c r="Q30" s="147" t="s">
        <v>725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406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724</v>
      </c>
      <c r="P31" s="147"/>
      <c r="Q31" s="147" t="s">
        <v>725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407</v>
      </c>
      <c r="F32" s="15" t="s">
        <v>155</v>
      </c>
      <c r="G32" s="118" t="s">
        <v>100</v>
      </c>
      <c r="H32" s="126" t="s">
        <v>228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726</v>
      </c>
      <c r="O32" s="127" t="s">
        <v>726</v>
      </c>
      <c r="P32" s="147" t="s">
        <v>177</v>
      </c>
      <c r="Q32" s="147" t="s">
        <v>746</v>
      </c>
      <c r="R32" s="147" t="s">
        <v>204</v>
      </c>
      <c r="S32" s="147"/>
      <c r="T32" s="147"/>
      <c r="U32" s="217"/>
      <c r="V32" s="147" t="s">
        <v>203</v>
      </c>
      <c r="W32" s="147"/>
      <c r="X32" s="154" t="s">
        <v>208</v>
      </c>
      <c r="Y32" s="147"/>
      <c r="Z32" s="150"/>
      <c r="AA32" s="151"/>
      <c r="AB32" s="150"/>
      <c r="AC32" s="151"/>
      <c r="AD32" s="152"/>
      <c r="AE32" s="153"/>
      <c r="AF32" s="148" t="s">
        <v>228</v>
      </c>
      <c r="AG32" s="147" t="s">
        <v>163</v>
      </c>
      <c r="AH32" s="147"/>
    </row>
    <row r="33" spans="4:34" ht="18" hidden="1" customHeight="1">
      <c r="D33" s="13">
        <v>23</v>
      </c>
      <c r="E33" s="13" t="s">
        <v>408</v>
      </c>
      <c r="F33" s="15" t="s">
        <v>153</v>
      </c>
      <c r="G33" s="118" t="s">
        <v>100</v>
      </c>
      <c r="H33" s="126" t="s">
        <v>228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727</v>
      </c>
      <c r="O33" s="127" t="s">
        <v>727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409</v>
      </c>
      <c r="F34" s="15" t="s">
        <v>155</v>
      </c>
      <c r="G34" s="118" t="s">
        <v>100</v>
      </c>
      <c r="H34" s="126" t="s">
        <v>228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728</v>
      </c>
      <c r="O34" s="127" t="s">
        <v>729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410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730</v>
      </c>
      <c r="O35" s="16" t="s">
        <v>731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411</v>
      </c>
      <c r="F36" s="15" t="s">
        <v>155</v>
      </c>
      <c r="G36" s="118" t="s">
        <v>100</v>
      </c>
      <c r="H36" s="126" t="s">
        <v>228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732</v>
      </c>
      <c r="O36" s="127" t="s">
        <v>732</v>
      </c>
      <c r="P36" s="147" t="s">
        <v>177</v>
      </c>
      <c r="Q36" s="147" t="s">
        <v>751</v>
      </c>
      <c r="R36" s="147" t="s">
        <v>289</v>
      </c>
      <c r="S36" s="147"/>
      <c r="T36" s="147"/>
      <c r="U36" s="217"/>
      <c r="V36" s="147" t="s">
        <v>203</v>
      </c>
      <c r="W36" s="147"/>
      <c r="X36" s="154" t="s">
        <v>208</v>
      </c>
      <c r="Y36" s="147"/>
      <c r="Z36" s="150" t="s">
        <v>749</v>
      </c>
      <c r="AA36" s="151" t="s">
        <v>753</v>
      </c>
      <c r="AB36" s="150" t="s">
        <v>749</v>
      </c>
      <c r="AC36" s="152" t="s">
        <v>752</v>
      </c>
      <c r="AD36" s="152"/>
      <c r="AE36" s="153"/>
      <c r="AF36" s="148" t="s">
        <v>228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412</v>
      </c>
      <c r="F37" s="15" t="s">
        <v>156</v>
      </c>
      <c r="G37" s="118" t="s">
        <v>123</v>
      </c>
      <c r="H37" s="126" t="s">
        <v>168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360</v>
      </c>
      <c r="O37" s="16" t="s">
        <v>733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413</v>
      </c>
      <c r="F38" s="15" t="s">
        <v>153</v>
      </c>
      <c r="G38" s="118" t="s">
        <v>230</v>
      </c>
      <c r="H38" s="126" t="s">
        <v>287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734</v>
      </c>
      <c r="O38" s="16" t="s">
        <v>735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hidden="1" customHeight="1">
      <c r="D39" s="13">
        <v>29</v>
      </c>
      <c r="E39" s="13" t="s">
        <v>414</v>
      </c>
      <c r="F39" s="15" t="s">
        <v>156</v>
      </c>
      <c r="G39" s="118" t="s">
        <v>123</v>
      </c>
      <c r="H39" s="126" t="s">
        <v>168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370</v>
      </c>
      <c r="O39" s="16" t="s">
        <v>736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hidden="1" customHeight="1">
      <c r="D40" s="15">
        <v>30</v>
      </c>
      <c r="E40" s="13" t="s">
        <v>415</v>
      </c>
      <c r="F40" s="15" t="s">
        <v>156</v>
      </c>
      <c r="G40" s="118" t="s">
        <v>124</v>
      </c>
      <c r="H40" s="126" t="s">
        <v>167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737</v>
      </c>
      <c r="O40" s="16" t="s">
        <v>738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416</v>
      </c>
      <c r="F41" s="15" t="s">
        <v>153</v>
      </c>
      <c r="G41" s="118" t="s">
        <v>100</v>
      </c>
      <c r="H41" s="126" t="s">
        <v>228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739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417</v>
      </c>
      <c r="F42" s="15" t="s">
        <v>155</v>
      </c>
      <c r="G42" s="118" t="s">
        <v>100</v>
      </c>
      <c r="H42" s="126" t="s">
        <v>228</v>
      </c>
      <c r="I42" s="14">
        <v>46158</v>
      </c>
      <c r="J42" s="48">
        <v>0.3527777777777778</v>
      </c>
      <c r="K42" s="118" t="s">
        <v>139</v>
      </c>
      <c r="L42" s="118" t="s">
        <v>378</v>
      </c>
      <c r="M42" s="118"/>
      <c r="N42" s="127" t="s">
        <v>740</v>
      </c>
      <c r="O42" s="127" t="s">
        <v>741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418</v>
      </c>
      <c r="F43" s="15" t="s">
        <v>155</v>
      </c>
      <c r="G43" s="118" t="s">
        <v>100</v>
      </c>
      <c r="H43" s="126" t="s">
        <v>228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742</v>
      </c>
      <c r="O43" s="127" t="s">
        <v>742</v>
      </c>
      <c r="P43" s="154" t="s">
        <v>173</v>
      </c>
      <c r="Q43" s="154" t="s">
        <v>747</v>
      </c>
      <c r="R43" s="147" t="s">
        <v>289</v>
      </c>
      <c r="S43" s="147"/>
      <c r="T43" s="147" t="s">
        <v>750</v>
      </c>
      <c r="U43" s="154" t="s">
        <v>748</v>
      </c>
      <c r="V43" s="147" t="s">
        <v>203</v>
      </c>
      <c r="W43" s="147"/>
      <c r="X43" s="154" t="s">
        <v>208</v>
      </c>
      <c r="Y43" s="147"/>
      <c r="Z43" s="150" t="s">
        <v>749</v>
      </c>
      <c r="AA43" s="151">
        <v>11.458333333333334</v>
      </c>
      <c r="AB43" s="150" t="s">
        <v>749</v>
      </c>
      <c r="AC43" s="151">
        <v>11.458333333333334</v>
      </c>
      <c r="AD43" s="152"/>
      <c r="AE43" s="153"/>
      <c r="AF43" s="148" t="s">
        <v>228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419</v>
      </c>
      <c r="F44" s="15" t="s">
        <v>155</v>
      </c>
      <c r="G44" s="118" t="s">
        <v>100</v>
      </c>
      <c r="H44" s="126" t="s">
        <v>228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743</v>
      </c>
      <c r="O44" s="127" t="s">
        <v>743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420</v>
      </c>
      <c r="F45" s="15" t="s">
        <v>155</v>
      </c>
      <c r="G45" s="118" t="s">
        <v>100</v>
      </c>
      <c r="H45" s="126" t="s">
        <v>228</v>
      </c>
      <c r="I45" s="14">
        <v>46158</v>
      </c>
      <c r="J45" s="48">
        <v>0.46527777777777779</v>
      </c>
      <c r="K45" s="118"/>
      <c r="L45" s="118"/>
      <c r="M45" s="118"/>
      <c r="N45" s="127" t="s">
        <v>744</v>
      </c>
      <c r="O45" s="127" t="s">
        <v>745</v>
      </c>
      <c r="P45" s="147" t="s">
        <v>173</v>
      </c>
      <c r="Q45" s="147" t="s">
        <v>792</v>
      </c>
      <c r="R45" s="147" t="s">
        <v>289</v>
      </c>
      <c r="S45" s="147"/>
      <c r="T45" s="147"/>
      <c r="U45" s="217"/>
      <c r="V45" s="147" t="s">
        <v>203</v>
      </c>
      <c r="W45" s="147"/>
      <c r="X45" s="154" t="s">
        <v>208</v>
      </c>
      <c r="Y45" s="147"/>
      <c r="Z45" s="150" t="s">
        <v>793</v>
      </c>
      <c r="AA45" s="248" t="s">
        <v>794</v>
      </c>
      <c r="AB45" s="150" t="s">
        <v>793</v>
      </c>
      <c r="AC45" s="152" t="s">
        <v>795</v>
      </c>
      <c r="AD45" s="152"/>
      <c r="AE45" s="153"/>
      <c r="AF45" s="148" t="s">
        <v>228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421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755</v>
      </c>
      <c r="O46" s="16" t="s">
        <v>756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hidden="1" customHeight="1">
      <c r="D47" s="13">
        <v>37</v>
      </c>
      <c r="E47" s="13" t="s">
        <v>422</v>
      </c>
      <c r="F47" s="15" t="s">
        <v>156</v>
      </c>
      <c r="G47" s="118" t="s">
        <v>123</v>
      </c>
      <c r="H47" s="126" t="s">
        <v>168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289</v>
      </c>
      <c r="N47" s="127" t="s">
        <v>722</v>
      </c>
      <c r="O47" s="16" t="s">
        <v>757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hidden="1" customHeight="1">
      <c r="D48" s="15">
        <v>38</v>
      </c>
      <c r="E48" s="13" t="s">
        <v>423</v>
      </c>
      <c r="F48" s="15" t="s">
        <v>153</v>
      </c>
      <c r="G48" s="118" t="s">
        <v>125</v>
      </c>
      <c r="H48" s="126" t="s">
        <v>710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758</v>
      </c>
      <c r="O48" s="16" t="s">
        <v>759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424</v>
      </c>
      <c r="F49" s="15" t="s">
        <v>155</v>
      </c>
      <c r="G49" s="118" t="s">
        <v>125</v>
      </c>
      <c r="H49" s="126" t="s">
        <v>710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713</v>
      </c>
      <c r="O49" s="16" t="s">
        <v>760</v>
      </c>
      <c r="P49" s="147" t="s">
        <v>173</v>
      </c>
      <c r="Q49" s="147" t="s">
        <v>786</v>
      </c>
      <c r="R49" s="147" t="s">
        <v>289</v>
      </c>
      <c r="S49" s="147"/>
      <c r="T49" s="147" t="s">
        <v>787</v>
      </c>
      <c r="U49" s="217" t="s">
        <v>788</v>
      </c>
      <c r="V49" s="147" t="s">
        <v>203</v>
      </c>
      <c r="W49" s="147"/>
      <c r="X49" s="154" t="s">
        <v>208</v>
      </c>
      <c r="Y49" s="147"/>
      <c r="Z49" s="150" t="s">
        <v>771</v>
      </c>
      <c r="AA49" s="151">
        <v>0.875</v>
      </c>
      <c r="AB49" s="150" t="s">
        <v>771</v>
      </c>
      <c r="AC49" s="151">
        <v>0.91666666666666663</v>
      </c>
      <c r="AD49" s="152"/>
      <c r="AE49" s="153"/>
      <c r="AF49" s="247" t="s">
        <v>710</v>
      </c>
      <c r="AG49" s="147" t="s">
        <v>164</v>
      </c>
      <c r="AH49" s="147"/>
    </row>
    <row r="50" spans="4:34" ht="18" hidden="1" customHeight="1">
      <c r="D50" s="15">
        <v>40</v>
      </c>
      <c r="E50" s="13" t="s">
        <v>425</v>
      </c>
      <c r="F50" s="15" t="s">
        <v>153</v>
      </c>
      <c r="G50" s="118" t="s">
        <v>125</v>
      </c>
      <c r="H50" s="126" t="s">
        <v>710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761</v>
      </c>
      <c r="O50" s="16" t="s">
        <v>762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426</v>
      </c>
      <c r="F51" s="15" t="s">
        <v>155</v>
      </c>
      <c r="G51" s="118" t="s">
        <v>125</v>
      </c>
      <c r="H51" s="126" t="s">
        <v>710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763</v>
      </c>
      <c r="O51" s="16" t="s">
        <v>764</v>
      </c>
      <c r="P51" s="147" t="s">
        <v>173</v>
      </c>
      <c r="Q51" s="147" t="s">
        <v>768</v>
      </c>
      <c r="R51" s="147" t="s">
        <v>289</v>
      </c>
      <c r="S51" s="147"/>
      <c r="T51" s="147" t="s">
        <v>769</v>
      </c>
      <c r="U51" s="217" t="s">
        <v>770</v>
      </c>
      <c r="V51" s="147" t="s">
        <v>203</v>
      </c>
      <c r="W51" s="147"/>
      <c r="X51" s="154" t="s">
        <v>208</v>
      </c>
      <c r="Y51" s="147"/>
      <c r="Z51" s="150" t="s">
        <v>771</v>
      </c>
      <c r="AA51" s="151">
        <v>0.70833333333333337</v>
      </c>
      <c r="AB51" s="150" t="s">
        <v>771</v>
      </c>
      <c r="AC51" s="151">
        <v>0.75</v>
      </c>
      <c r="AD51" s="152"/>
      <c r="AE51" s="153"/>
      <c r="AF51" s="247" t="s">
        <v>710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427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765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428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766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767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429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772</v>
      </c>
      <c r="O54" s="16" t="s">
        <v>773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430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730</v>
      </c>
      <c r="O55" s="16" t="s">
        <v>774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431</v>
      </c>
      <c r="F56" s="15" t="s">
        <v>156</v>
      </c>
      <c r="G56" s="118" t="s">
        <v>123</v>
      </c>
      <c r="H56" s="126" t="s">
        <v>168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775</v>
      </c>
      <c r="O56" s="16" t="s">
        <v>776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432</v>
      </c>
      <c r="F57" s="15" t="s">
        <v>153</v>
      </c>
      <c r="G57" s="118" t="s">
        <v>231</v>
      </c>
      <c r="H57" s="126" t="s">
        <v>777</v>
      </c>
      <c r="I57" s="14">
        <v>46163</v>
      </c>
      <c r="J57" s="48" t="s">
        <v>778</v>
      </c>
      <c r="K57" s="118" t="s">
        <v>139</v>
      </c>
      <c r="L57" s="118" t="s">
        <v>140</v>
      </c>
      <c r="M57" s="118" t="s">
        <v>144</v>
      </c>
      <c r="N57" s="127" t="s">
        <v>779</v>
      </c>
      <c r="O57" s="16" t="s">
        <v>780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hidden="1" customHeight="1">
      <c r="D58" s="15">
        <v>48</v>
      </c>
      <c r="E58" s="13" t="s">
        <v>433</v>
      </c>
      <c r="F58" s="15" t="s">
        <v>156</v>
      </c>
      <c r="G58" s="118" t="s">
        <v>124</v>
      </c>
      <c r="H58" s="126" t="s">
        <v>167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289</v>
      </c>
      <c r="N58" s="127" t="s">
        <v>781</v>
      </c>
      <c r="O58" s="16" t="s">
        <v>782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434</v>
      </c>
      <c r="F59" s="15" t="s">
        <v>155</v>
      </c>
      <c r="G59" s="118" t="s">
        <v>100</v>
      </c>
      <c r="H59" s="126" t="s">
        <v>228</v>
      </c>
      <c r="I59" s="14">
        <v>46163</v>
      </c>
      <c r="J59" s="48" t="s">
        <v>784</v>
      </c>
      <c r="K59" s="118" t="s">
        <v>139</v>
      </c>
      <c r="L59" s="118" t="s">
        <v>378</v>
      </c>
      <c r="M59" s="118" t="s">
        <v>289</v>
      </c>
      <c r="N59" s="127" t="s">
        <v>108</v>
      </c>
      <c r="O59" s="127" t="s">
        <v>783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435</v>
      </c>
      <c r="F60" s="15" t="s">
        <v>153</v>
      </c>
      <c r="G60" s="118" t="s">
        <v>100</v>
      </c>
      <c r="H60" s="126" t="s">
        <v>228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785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436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378</v>
      </c>
      <c r="M61" s="118"/>
      <c r="N61" s="127"/>
      <c r="O61" s="16" t="s">
        <v>789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437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378</v>
      </c>
      <c r="M62" s="118"/>
      <c r="N62" s="127"/>
      <c r="O62" s="16" t="s">
        <v>790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438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378</v>
      </c>
      <c r="M63" s="118"/>
      <c r="N63" s="127"/>
      <c r="O63" s="16" t="s">
        <v>791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439</v>
      </c>
      <c r="F64" s="15" t="s">
        <v>156</v>
      </c>
      <c r="G64" s="118" t="s">
        <v>123</v>
      </c>
      <c r="H64" s="126" t="s">
        <v>168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722</v>
      </c>
      <c r="O64" s="16" t="s">
        <v>796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hidden="1" customHeight="1">
      <c r="D65" s="13">
        <v>55</v>
      </c>
      <c r="E65" s="13" t="s">
        <v>440</v>
      </c>
      <c r="F65" s="15" t="s">
        <v>156</v>
      </c>
      <c r="G65" s="118" t="s">
        <v>124</v>
      </c>
      <c r="H65" s="126" t="s">
        <v>167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289</v>
      </c>
      <c r="N65" s="127" t="s">
        <v>797</v>
      </c>
      <c r="O65" s="16" t="s">
        <v>798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hidden="1" customHeight="1">
      <c r="D66" s="15">
        <v>56</v>
      </c>
      <c r="E66" s="13" t="s">
        <v>441</v>
      </c>
      <c r="F66" s="15" t="s">
        <v>153</v>
      </c>
      <c r="G66" s="118" t="s">
        <v>125</v>
      </c>
      <c r="H66" s="126" t="s">
        <v>710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799</v>
      </c>
      <c r="O66" s="16" t="s">
        <v>800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442</v>
      </c>
      <c r="F67" s="15" t="s">
        <v>153</v>
      </c>
      <c r="G67" s="118" t="s">
        <v>125</v>
      </c>
      <c r="H67" s="126" t="s">
        <v>710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801</v>
      </c>
      <c r="O67" s="16" t="s">
        <v>802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443</v>
      </c>
      <c r="F68" s="15" t="s">
        <v>153</v>
      </c>
      <c r="G68" s="118" t="s">
        <v>125</v>
      </c>
      <c r="H68" s="126" t="s">
        <v>710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804</v>
      </c>
      <c r="O68" s="16" t="s">
        <v>803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444</v>
      </c>
      <c r="F69" s="15" t="s">
        <v>153</v>
      </c>
      <c r="G69" s="118" t="s">
        <v>125</v>
      </c>
      <c r="H69" s="126" t="s">
        <v>710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805</v>
      </c>
      <c r="O69" s="16" t="s">
        <v>806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hidden="1" customHeight="1">
      <c r="D70" s="15">
        <v>60</v>
      </c>
      <c r="E70" s="13" t="s">
        <v>445</v>
      </c>
      <c r="F70" s="15" t="s">
        <v>156</v>
      </c>
      <c r="G70" s="118" t="s">
        <v>123</v>
      </c>
      <c r="H70" s="126" t="s">
        <v>168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370</v>
      </c>
      <c r="O70" s="16" t="s">
        <v>807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446</v>
      </c>
      <c r="F71" s="15" t="s">
        <v>155</v>
      </c>
      <c r="G71" s="118" t="s">
        <v>809</v>
      </c>
      <c r="H71" s="126" t="s">
        <v>810</v>
      </c>
      <c r="I71" s="14">
        <v>46171</v>
      </c>
      <c r="J71" s="48">
        <v>15.5</v>
      </c>
      <c r="K71" s="118" t="s">
        <v>138</v>
      </c>
      <c r="L71" s="118" t="s">
        <v>140</v>
      </c>
      <c r="M71" s="118"/>
      <c r="N71" s="127" t="s">
        <v>811</v>
      </c>
      <c r="O71" s="16" t="s">
        <v>812</v>
      </c>
      <c r="P71" s="147" t="s">
        <v>178</v>
      </c>
      <c r="Q71" s="147" t="s">
        <v>813</v>
      </c>
      <c r="R71" s="147"/>
      <c r="S71" s="147"/>
      <c r="T71" s="147"/>
      <c r="U71" s="217"/>
      <c r="V71" s="147" t="s">
        <v>203</v>
      </c>
      <c r="W71" s="147"/>
      <c r="X71" s="154" t="s">
        <v>208</v>
      </c>
      <c r="Y71" s="147"/>
      <c r="Z71" s="150">
        <v>46212</v>
      </c>
      <c r="AA71" s="151">
        <v>0.83333333333333337</v>
      </c>
      <c r="AB71" s="150">
        <v>46212</v>
      </c>
      <c r="AC71" s="151">
        <v>0.875</v>
      </c>
      <c r="AD71" s="152" t="s">
        <v>814</v>
      </c>
      <c r="AE71" s="153"/>
      <c r="AF71" s="148" t="s">
        <v>810</v>
      </c>
      <c r="AG71" s="147" t="s">
        <v>164</v>
      </c>
      <c r="AH71" s="147"/>
    </row>
    <row r="72" spans="4:34" ht="18" hidden="1" customHeight="1">
      <c r="D72" s="15">
        <v>62</v>
      </c>
      <c r="E72" s="13" t="s">
        <v>447</v>
      </c>
      <c r="F72" s="15"/>
      <c r="G72" s="118"/>
      <c r="H72" s="126"/>
      <c r="I72" s="14"/>
      <c r="J72" s="48"/>
      <c r="K72" s="118"/>
      <c r="L72" s="118"/>
      <c r="M72" s="118"/>
      <c r="N72" s="127"/>
      <c r="O72" s="16"/>
      <c r="P72" s="147"/>
      <c r="Q72" s="147"/>
      <c r="R72" s="147"/>
      <c r="S72" s="147"/>
      <c r="T72" s="147"/>
      <c r="U72" s="217"/>
      <c r="V72" s="147"/>
      <c r="W72" s="147"/>
      <c r="X72" s="154"/>
      <c r="Y72" s="147"/>
      <c r="Z72" s="150"/>
      <c r="AA72" s="151"/>
      <c r="AB72" s="150"/>
      <c r="AC72" s="151"/>
      <c r="AD72" s="152"/>
      <c r="AE72" s="153"/>
      <c r="AF72" s="148"/>
      <c r="AG72" s="147"/>
      <c r="AH72" s="147"/>
    </row>
    <row r="73" spans="4:34" ht="18" hidden="1" customHeight="1">
      <c r="D73" s="13">
        <v>63</v>
      </c>
      <c r="E73" s="13" t="s">
        <v>448</v>
      </c>
      <c r="F73" s="15"/>
      <c r="G73" s="118"/>
      <c r="H73" s="126"/>
      <c r="I73" s="14"/>
      <c r="J73" s="48"/>
      <c r="K73" s="118"/>
      <c r="L73" s="118"/>
      <c r="M73" s="118"/>
      <c r="N73" s="127"/>
      <c r="O73" s="16"/>
      <c r="P73" s="147"/>
      <c r="Q73" s="147"/>
      <c r="R73" s="147"/>
      <c r="S73" s="147"/>
      <c r="T73" s="147"/>
      <c r="U73" s="217"/>
      <c r="V73" s="147"/>
      <c r="W73" s="147"/>
      <c r="X73" s="154"/>
      <c r="Y73" s="147"/>
      <c r="Z73" s="150"/>
      <c r="AA73" s="151"/>
      <c r="AB73" s="150"/>
      <c r="AC73" s="151"/>
      <c r="AD73" s="152"/>
      <c r="AE73" s="153"/>
      <c r="AF73" s="148"/>
      <c r="AG73" s="147"/>
      <c r="AH73" s="147"/>
    </row>
    <row r="74" spans="4:34" ht="18" hidden="1" customHeight="1">
      <c r="D74" s="15">
        <v>64</v>
      </c>
      <c r="E74" s="13" t="s">
        <v>449</v>
      </c>
      <c r="F74" s="15"/>
      <c r="G74" s="118"/>
      <c r="H74" s="126"/>
      <c r="I74" s="14"/>
      <c r="J74" s="48"/>
      <c r="K74" s="118"/>
      <c r="L74" s="118"/>
      <c r="M74" s="118"/>
      <c r="N74" s="127"/>
      <c r="O74" s="16"/>
      <c r="P74" s="147"/>
      <c r="Q74" s="147"/>
      <c r="R74" s="147"/>
      <c r="S74" s="147"/>
      <c r="T74" s="147"/>
      <c r="U74" s="217"/>
      <c r="V74" s="147"/>
      <c r="W74" s="147"/>
      <c r="X74" s="154"/>
      <c r="Y74" s="147"/>
      <c r="Z74" s="150"/>
      <c r="AA74" s="151"/>
      <c r="AB74" s="150"/>
      <c r="AC74" s="151"/>
      <c r="AD74" s="152"/>
      <c r="AE74" s="153"/>
      <c r="AF74" s="148"/>
      <c r="AG74" s="147"/>
      <c r="AH74" s="147"/>
    </row>
    <row r="75" spans="4:34" ht="18" hidden="1" customHeight="1">
      <c r="D75" s="13">
        <v>65</v>
      </c>
      <c r="E75" s="13" t="s">
        <v>450</v>
      </c>
      <c r="F75" s="15"/>
      <c r="G75" s="118"/>
      <c r="H75" s="126"/>
      <c r="I75" s="14"/>
      <c r="J75" s="48"/>
      <c r="K75" s="118"/>
      <c r="L75" s="118"/>
      <c r="M75" s="118"/>
      <c r="N75" s="127"/>
      <c r="O75" s="16"/>
      <c r="P75" s="147"/>
      <c r="Q75" s="147"/>
      <c r="R75" s="147"/>
      <c r="S75" s="147"/>
      <c r="T75" s="147"/>
      <c r="U75" s="217"/>
      <c r="V75" s="147"/>
      <c r="W75" s="147"/>
      <c r="X75" s="154"/>
      <c r="Y75" s="147"/>
      <c r="Z75" s="150"/>
      <c r="AA75" s="151"/>
      <c r="AB75" s="150"/>
      <c r="AC75" s="151"/>
      <c r="AD75" s="152"/>
      <c r="AE75" s="153"/>
      <c r="AF75" s="148"/>
      <c r="AG75" s="147"/>
      <c r="AH75" s="147"/>
    </row>
    <row r="76" spans="4:34" ht="18" hidden="1" customHeight="1">
      <c r="D76" s="15">
        <v>66</v>
      </c>
      <c r="E76" s="13" t="s">
        <v>451</v>
      </c>
      <c r="F76" s="15"/>
      <c r="G76" s="118"/>
      <c r="H76" s="126"/>
      <c r="I76" s="14"/>
      <c r="J76" s="48"/>
      <c r="K76" s="118"/>
      <c r="L76" s="118"/>
      <c r="M76" s="118"/>
      <c r="N76" s="127"/>
      <c r="O76" s="16"/>
      <c r="P76" s="147"/>
      <c r="Q76" s="147"/>
      <c r="R76" s="147"/>
      <c r="S76" s="147"/>
      <c r="T76" s="147"/>
      <c r="U76" s="217"/>
      <c r="V76" s="147"/>
      <c r="W76" s="147"/>
      <c r="X76" s="154"/>
      <c r="Y76" s="147"/>
      <c r="Z76" s="150"/>
      <c r="AA76" s="151"/>
      <c r="AB76" s="150"/>
      <c r="AC76" s="151"/>
      <c r="AD76" s="152"/>
      <c r="AE76" s="153"/>
      <c r="AF76" s="148"/>
      <c r="AG76" s="147"/>
      <c r="AH76" s="147"/>
    </row>
    <row r="77" spans="4:34" ht="18" hidden="1" customHeight="1">
      <c r="D77" s="13">
        <v>67</v>
      </c>
      <c r="E77" s="13" t="s">
        <v>452</v>
      </c>
      <c r="F77" s="15"/>
      <c r="G77" s="118"/>
      <c r="H77" s="126"/>
      <c r="I77" s="14"/>
      <c r="J77" s="48"/>
      <c r="K77" s="118"/>
      <c r="L77" s="118"/>
      <c r="M77" s="118"/>
      <c r="N77" s="127"/>
      <c r="O77" s="16"/>
      <c r="P77" s="147"/>
      <c r="Q77" s="147"/>
      <c r="R77" s="147"/>
      <c r="S77" s="147"/>
      <c r="T77" s="147"/>
      <c r="U77" s="217"/>
      <c r="V77" s="147"/>
      <c r="W77" s="147"/>
      <c r="X77" s="154"/>
      <c r="Y77" s="147"/>
      <c r="Z77" s="150"/>
      <c r="AA77" s="151"/>
      <c r="AB77" s="150"/>
      <c r="AC77" s="151"/>
      <c r="AD77" s="152"/>
      <c r="AE77" s="153"/>
      <c r="AF77" s="148"/>
      <c r="AG77" s="147"/>
      <c r="AH77" s="147"/>
    </row>
    <row r="78" spans="4:34" ht="18" hidden="1" customHeight="1">
      <c r="D78" s="15">
        <v>68</v>
      </c>
      <c r="E78" s="13" t="s">
        <v>453</v>
      </c>
      <c r="F78" s="15"/>
      <c r="G78" s="118"/>
      <c r="H78" s="126"/>
      <c r="I78" s="14"/>
      <c r="J78" s="48"/>
      <c r="K78" s="118"/>
      <c r="L78" s="118"/>
      <c r="M78" s="118"/>
      <c r="N78" s="127"/>
      <c r="O78" s="16"/>
      <c r="P78" s="147"/>
      <c r="Q78" s="147"/>
      <c r="R78" s="147"/>
      <c r="S78" s="147"/>
      <c r="T78" s="147"/>
      <c r="U78" s="217"/>
      <c r="V78" s="147"/>
      <c r="W78" s="147"/>
      <c r="X78" s="154"/>
      <c r="Y78" s="147"/>
      <c r="Z78" s="150"/>
      <c r="AA78" s="151"/>
      <c r="AB78" s="150"/>
      <c r="AC78" s="151"/>
      <c r="AD78" s="152"/>
      <c r="AE78" s="153"/>
      <c r="AF78" s="148"/>
      <c r="AG78" s="147"/>
      <c r="AH78" s="147"/>
    </row>
    <row r="79" spans="4:34" ht="18" hidden="1" customHeight="1">
      <c r="D79" s="13">
        <v>69</v>
      </c>
      <c r="E79" s="13" t="s">
        <v>454</v>
      </c>
      <c r="F79" s="15"/>
      <c r="G79" s="118"/>
      <c r="H79" s="126"/>
      <c r="I79" s="14"/>
      <c r="J79" s="48"/>
      <c r="K79" s="118"/>
      <c r="L79" s="118"/>
      <c r="M79" s="118"/>
      <c r="N79" s="127"/>
      <c r="O79" s="16"/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hidden="1" customHeight="1">
      <c r="D80" s="15">
        <v>70</v>
      </c>
      <c r="E80" s="13" t="s">
        <v>455</v>
      </c>
      <c r="F80" s="15"/>
      <c r="G80" s="118"/>
      <c r="H80" s="126"/>
      <c r="I80" s="14"/>
      <c r="J80" s="48"/>
      <c r="K80" s="118"/>
      <c r="L80" s="118"/>
      <c r="M80" s="118"/>
      <c r="N80" s="127"/>
      <c r="O80" s="16"/>
      <c r="P80" s="147"/>
      <c r="Q80" s="147"/>
      <c r="R80" s="147"/>
      <c r="S80" s="147"/>
      <c r="T80" s="147"/>
      <c r="U80" s="217"/>
      <c r="V80" s="147"/>
      <c r="W80" s="147"/>
      <c r="X80" s="154"/>
      <c r="Y80" s="147"/>
      <c r="Z80" s="150"/>
      <c r="AA80" s="151"/>
      <c r="AB80" s="150"/>
      <c r="AC80" s="151"/>
      <c r="AD80" s="152"/>
      <c r="AE80" s="153"/>
      <c r="AF80" s="148"/>
      <c r="AG80" s="147"/>
      <c r="AH80" s="147"/>
    </row>
    <row r="81" spans="4:34" ht="18" hidden="1" customHeight="1">
      <c r="D81" s="13">
        <v>71</v>
      </c>
      <c r="E81" s="13" t="s">
        <v>456</v>
      </c>
      <c r="F81" s="15"/>
      <c r="G81" s="118"/>
      <c r="H81" s="126"/>
      <c r="I81" s="14"/>
      <c r="J81" s="48"/>
      <c r="K81" s="118"/>
      <c r="L81" s="118"/>
      <c r="M81" s="118"/>
      <c r="N81" s="127"/>
      <c r="O81" s="16"/>
      <c r="P81" s="147"/>
      <c r="Q81" s="147"/>
      <c r="R81" s="147"/>
      <c r="S81" s="147"/>
      <c r="T81" s="147"/>
      <c r="U81" s="217"/>
      <c r="V81" s="147"/>
      <c r="W81" s="147"/>
      <c r="X81" s="154"/>
      <c r="Y81" s="147"/>
      <c r="Z81" s="150"/>
      <c r="AA81" s="151"/>
      <c r="AB81" s="150"/>
      <c r="AC81" s="151"/>
      <c r="AD81" s="152"/>
      <c r="AE81" s="153"/>
      <c r="AF81" s="148"/>
      <c r="AG81" s="147"/>
      <c r="AH81" s="147"/>
    </row>
    <row r="82" spans="4:34" ht="18" hidden="1" customHeight="1">
      <c r="D82" s="15">
        <v>72</v>
      </c>
      <c r="E82" s="13" t="s">
        <v>457</v>
      </c>
      <c r="F82" s="15"/>
      <c r="G82" s="118"/>
      <c r="H82" s="126"/>
      <c r="I82" s="14"/>
      <c r="J82" s="48"/>
      <c r="K82" s="118"/>
      <c r="L82" s="118"/>
      <c r="M82" s="118"/>
      <c r="N82" s="127"/>
      <c r="O82" s="16"/>
      <c r="P82" s="147"/>
      <c r="Q82" s="147"/>
      <c r="R82" s="147"/>
      <c r="S82" s="147"/>
      <c r="T82" s="147"/>
      <c r="U82" s="217"/>
      <c r="V82" s="147"/>
      <c r="W82" s="147"/>
      <c r="X82" s="154"/>
      <c r="Y82" s="147"/>
      <c r="Z82" s="150"/>
      <c r="AA82" s="151"/>
      <c r="AB82" s="150"/>
      <c r="AC82" s="151"/>
      <c r="AD82" s="152"/>
      <c r="AE82" s="153"/>
      <c r="AF82" s="148"/>
      <c r="AG82" s="147"/>
      <c r="AH82" s="147"/>
    </row>
    <row r="83" spans="4:34" ht="18" hidden="1" customHeight="1">
      <c r="D83" s="13">
        <v>73</v>
      </c>
      <c r="E83" s="13" t="s">
        <v>458</v>
      </c>
      <c r="F83" s="15"/>
      <c r="G83" s="118"/>
      <c r="H83" s="126"/>
      <c r="I83" s="14"/>
      <c r="J83" s="48"/>
      <c r="K83" s="118"/>
      <c r="L83" s="118"/>
      <c r="M83" s="118"/>
      <c r="N83" s="127"/>
      <c r="O83" s="16"/>
      <c r="P83" s="147"/>
      <c r="Q83" s="147"/>
      <c r="R83" s="147"/>
      <c r="S83" s="147"/>
      <c r="T83" s="147"/>
      <c r="U83" s="217"/>
      <c r="V83" s="147"/>
      <c r="W83" s="147"/>
      <c r="X83" s="154"/>
      <c r="Y83" s="147"/>
      <c r="Z83" s="150"/>
      <c r="AA83" s="151"/>
      <c r="AB83" s="150"/>
      <c r="AC83" s="151"/>
      <c r="AD83" s="152"/>
      <c r="AE83" s="153"/>
      <c r="AF83" s="148"/>
      <c r="AG83" s="147"/>
      <c r="AH83" s="147"/>
    </row>
    <row r="84" spans="4:34" ht="18" hidden="1" customHeight="1">
      <c r="D84" s="15">
        <v>74</v>
      </c>
      <c r="E84" s="13" t="s">
        <v>459</v>
      </c>
      <c r="F84" s="15"/>
      <c r="G84" s="118"/>
      <c r="H84" s="126"/>
      <c r="I84" s="14"/>
      <c r="J84" s="48"/>
      <c r="K84" s="118"/>
      <c r="L84" s="118"/>
      <c r="M84" s="118"/>
      <c r="N84" s="127"/>
      <c r="O84" s="16"/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hidden="1" customHeight="1">
      <c r="D85" s="13">
        <v>75</v>
      </c>
      <c r="E85" s="13" t="s">
        <v>460</v>
      </c>
      <c r="F85" s="15"/>
      <c r="G85" s="118"/>
      <c r="H85" s="126"/>
      <c r="I85" s="14"/>
      <c r="J85" s="48"/>
      <c r="K85" s="118"/>
      <c r="L85" s="118"/>
      <c r="M85" s="118"/>
      <c r="N85" s="127"/>
      <c r="O85" s="16"/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hidden="1" customHeight="1">
      <c r="D86" s="15">
        <v>76</v>
      </c>
      <c r="E86" s="13" t="s">
        <v>461</v>
      </c>
      <c r="F86" s="15"/>
      <c r="G86" s="118"/>
      <c r="H86" s="126"/>
      <c r="I86" s="14"/>
      <c r="J86" s="48"/>
      <c r="K86" s="118"/>
      <c r="L86" s="118"/>
      <c r="M86" s="118"/>
      <c r="N86" s="127"/>
      <c r="O86" s="16"/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hidden="1" customHeight="1">
      <c r="D87" s="13">
        <v>77</v>
      </c>
      <c r="E87" s="13" t="s">
        <v>462</v>
      </c>
      <c r="F87" s="15"/>
      <c r="G87" s="118"/>
      <c r="H87" s="126"/>
      <c r="I87" s="14"/>
      <c r="J87" s="48"/>
      <c r="K87" s="118"/>
      <c r="L87" s="118"/>
      <c r="M87" s="118"/>
      <c r="N87" s="127"/>
      <c r="O87" s="16"/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hidden="1" customHeight="1">
      <c r="D88" s="15">
        <v>78</v>
      </c>
      <c r="E88" s="13" t="s">
        <v>463</v>
      </c>
      <c r="F88" s="15"/>
      <c r="G88" s="118"/>
      <c r="H88" s="126"/>
      <c r="I88" s="14"/>
      <c r="J88" s="48"/>
      <c r="K88" s="118"/>
      <c r="L88" s="118"/>
      <c r="M88" s="118"/>
      <c r="N88" s="127"/>
      <c r="O88" s="16"/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150"/>
      <c r="AC88" s="151"/>
      <c r="AD88" s="152"/>
      <c r="AE88" s="153"/>
      <c r="AF88" s="148"/>
      <c r="AG88" s="147"/>
      <c r="AH88" s="147"/>
    </row>
    <row r="89" spans="4:34" ht="18" hidden="1" customHeight="1">
      <c r="D89" s="13">
        <v>79</v>
      </c>
      <c r="E89" s="13" t="s">
        <v>464</v>
      </c>
      <c r="F89" s="15"/>
      <c r="G89" s="118"/>
      <c r="H89" s="126"/>
      <c r="I89" s="14"/>
      <c r="J89" s="48"/>
      <c r="K89" s="118"/>
      <c r="L89" s="118"/>
      <c r="M89" s="118"/>
      <c r="N89" s="127"/>
      <c r="O89" s="16"/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hidden="1" customHeight="1">
      <c r="D90" s="15">
        <v>80</v>
      </c>
      <c r="E90" s="13" t="s">
        <v>465</v>
      </c>
      <c r="F90" s="15"/>
      <c r="G90" s="118"/>
      <c r="H90" s="126"/>
      <c r="I90" s="14"/>
      <c r="J90" s="48"/>
      <c r="K90" s="118"/>
      <c r="L90" s="118"/>
      <c r="M90" s="118"/>
      <c r="N90" s="127"/>
      <c r="O90" s="16"/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hidden="1" customHeight="1">
      <c r="D91" s="13">
        <v>81</v>
      </c>
      <c r="E91" s="13" t="s">
        <v>466</v>
      </c>
      <c r="F91" s="15"/>
      <c r="G91" s="118"/>
      <c r="H91" s="126"/>
      <c r="I91" s="14"/>
      <c r="J91" s="48"/>
      <c r="K91" s="118"/>
      <c r="L91" s="118"/>
      <c r="M91" s="118"/>
      <c r="N91" s="127"/>
      <c r="O91" s="16"/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hidden="1" customHeight="1">
      <c r="D92" s="15">
        <v>82</v>
      </c>
      <c r="E92" s="13" t="s">
        <v>467</v>
      </c>
      <c r="F92" s="15"/>
      <c r="G92" s="118"/>
      <c r="H92" s="126"/>
      <c r="I92" s="14"/>
      <c r="J92" s="48"/>
      <c r="K92" s="118"/>
      <c r="L92" s="118"/>
      <c r="M92" s="118"/>
      <c r="N92" s="127"/>
      <c r="O92" s="16"/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hidden="1" customHeight="1">
      <c r="D93" s="13">
        <v>83</v>
      </c>
      <c r="E93" s="13" t="s">
        <v>468</v>
      </c>
      <c r="F93" s="15"/>
      <c r="G93" s="118"/>
      <c r="H93" s="126"/>
      <c r="I93" s="14"/>
      <c r="J93" s="48"/>
      <c r="K93" s="118"/>
      <c r="L93" s="118"/>
      <c r="M93" s="118"/>
      <c r="N93" s="127"/>
      <c r="O93" s="16"/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hidden="1" customHeight="1">
      <c r="D94" s="15">
        <v>84</v>
      </c>
      <c r="E94" s="13" t="s">
        <v>469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hidden="1" customHeight="1">
      <c r="D95" s="13">
        <v>85</v>
      </c>
      <c r="E95" s="13" t="s">
        <v>470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hidden="1" customHeight="1">
      <c r="D96" s="15">
        <v>86</v>
      </c>
      <c r="E96" s="13" t="s">
        <v>471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hidden="1" customHeight="1">
      <c r="D97" s="13">
        <v>87</v>
      </c>
      <c r="E97" s="13" t="s">
        <v>472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hidden="1" customHeight="1">
      <c r="D98" s="15">
        <v>88</v>
      </c>
      <c r="E98" s="13" t="s">
        <v>473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hidden="1" customHeight="1">
      <c r="D99" s="13">
        <v>89</v>
      </c>
      <c r="E99" s="13" t="s">
        <v>474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hidden="1" customHeight="1">
      <c r="D100" s="15">
        <v>90</v>
      </c>
      <c r="E100" s="13" t="s">
        <v>475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hidden="1" customHeight="1">
      <c r="D101" s="13">
        <v>91</v>
      </c>
      <c r="E101" s="13" t="s">
        <v>476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hidden="1" customHeight="1">
      <c r="D102" s="15">
        <v>92</v>
      </c>
      <c r="E102" s="13" t="s">
        <v>477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hidden="1" customHeight="1">
      <c r="D103" s="13">
        <v>93</v>
      </c>
      <c r="E103" s="13" t="s">
        <v>478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hidden="1" customHeight="1">
      <c r="D104" s="15">
        <v>94</v>
      </c>
      <c r="E104" s="13" t="s">
        <v>479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hidden="1" customHeight="1">
      <c r="D105" s="13">
        <v>95</v>
      </c>
      <c r="E105" s="13" t="s">
        <v>480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hidden="1" customHeight="1">
      <c r="D106" s="15">
        <v>96</v>
      </c>
      <c r="E106" s="13" t="s">
        <v>481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hidden="1" customHeight="1">
      <c r="D107" s="13">
        <v>97</v>
      </c>
      <c r="E107" s="13" t="s">
        <v>482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hidden="1" customHeight="1">
      <c r="D108" s="15">
        <v>98</v>
      </c>
      <c r="E108" s="13" t="s">
        <v>483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hidden="1" customHeight="1">
      <c r="D109" s="13">
        <v>99</v>
      </c>
      <c r="E109" s="13" t="s">
        <v>484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hidden="1" customHeight="1">
      <c r="D110" s="15">
        <v>100</v>
      </c>
      <c r="E110" s="13" t="s">
        <v>485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hidden="1" customHeight="1">
      <c r="D111" s="13">
        <v>101</v>
      </c>
      <c r="E111" s="13" t="s">
        <v>486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hidden="1" customHeight="1">
      <c r="D112" s="15">
        <v>102</v>
      </c>
      <c r="E112" s="13" t="s">
        <v>487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hidden="1" customHeight="1">
      <c r="D113" s="13">
        <v>103</v>
      </c>
      <c r="E113" s="13" t="s">
        <v>488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hidden="1" customHeight="1">
      <c r="D114" s="15">
        <v>104</v>
      </c>
      <c r="E114" s="13" t="s">
        <v>489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hidden="1" customHeight="1">
      <c r="D115" s="13">
        <v>105</v>
      </c>
      <c r="E115" s="13" t="s">
        <v>490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hidden="1" customHeight="1">
      <c r="D116" s="15">
        <v>106</v>
      </c>
      <c r="E116" s="13" t="s">
        <v>491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hidden="1" customHeight="1">
      <c r="D117" s="13">
        <v>107</v>
      </c>
      <c r="E117" s="13" t="s">
        <v>492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hidden="1" customHeight="1">
      <c r="D118" s="15">
        <v>108</v>
      </c>
      <c r="E118" s="13" t="s">
        <v>493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hidden="1" customHeight="1">
      <c r="D119" s="13">
        <v>109</v>
      </c>
      <c r="E119" s="13" t="s">
        <v>494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hidden="1" customHeight="1">
      <c r="D120" s="15">
        <v>110</v>
      </c>
      <c r="E120" s="13" t="s">
        <v>495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hidden="1" customHeight="1">
      <c r="D121" s="13">
        <v>111</v>
      </c>
      <c r="E121" s="13" t="s">
        <v>496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hidden="1" customHeight="1">
      <c r="D122" s="15">
        <v>112</v>
      </c>
      <c r="E122" s="13" t="s">
        <v>497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hidden="1" customHeight="1">
      <c r="D123" s="13">
        <v>113</v>
      </c>
      <c r="E123" s="13" t="s">
        <v>498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hidden="1" customHeight="1">
      <c r="D124" s="15">
        <v>114</v>
      </c>
      <c r="E124" s="13" t="s">
        <v>499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hidden="1" customHeight="1">
      <c r="D125" s="13">
        <v>115</v>
      </c>
      <c r="E125" s="13" t="s">
        <v>500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hidden="1" customHeight="1">
      <c r="D126" s="15">
        <v>116</v>
      </c>
      <c r="E126" s="13" t="s">
        <v>501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hidden="1" customHeight="1">
      <c r="D127" s="13">
        <v>117</v>
      </c>
      <c r="E127" s="13" t="s">
        <v>502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hidden="1" customHeight="1">
      <c r="D128" s="15">
        <v>118</v>
      </c>
      <c r="E128" s="13" t="s">
        <v>503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hidden="1" customHeight="1">
      <c r="D129" s="13">
        <v>119</v>
      </c>
      <c r="E129" s="13" t="s">
        <v>504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hidden="1" customHeight="1">
      <c r="D130" s="15">
        <v>120</v>
      </c>
      <c r="E130" s="13" t="s">
        <v>505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hidden="1" customHeight="1">
      <c r="D131" s="13">
        <v>121</v>
      </c>
      <c r="E131" s="13" t="s">
        <v>506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hidden="1" customHeight="1">
      <c r="D132" s="15">
        <v>122</v>
      </c>
      <c r="E132" s="13" t="s">
        <v>507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hidden="1" customHeight="1">
      <c r="D133" s="13">
        <v>123</v>
      </c>
      <c r="E133" s="13" t="s">
        <v>508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hidden="1" customHeight="1">
      <c r="D134" s="15">
        <v>124</v>
      </c>
      <c r="E134" s="13" t="s">
        <v>509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hidden="1" customHeight="1">
      <c r="D135" s="13">
        <v>125</v>
      </c>
      <c r="E135" s="13" t="s">
        <v>510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hidden="1" customHeight="1">
      <c r="D136" s="15">
        <v>126</v>
      </c>
      <c r="E136" s="13" t="s">
        <v>511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hidden="1" customHeight="1">
      <c r="D137" s="13">
        <v>127</v>
      </c>
      <c r="E137" s="13" t="s">
        <v>512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hidden="1" customHeight="1">
      <c r="D138" s="15">
        <v>128</v>
      </c>
      <c r="E138" s="13" t="s">
        <v>513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hidden="1" customHeight="1">
      <c r="D139" s="13">
        <v>129</v>
      </c>
      <c r="E139" s="13" t="s">
        <v>514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hidden="1" customHeight="1">
      <c r="D140" s="15">
        <v>130</v>
      </c>
      <c r="E140" s="13" t="s">
        <v>515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hidden="1" customHeight="1">
      <c r="D141" s="13">
        <v>131</v>
      </c>
      <c r="E141" s="13" t="s">
        <v>516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hidden="1" customHeight="1">
      <c r="D142" s="15">
        <v>132</v>
      </c>
      <c r="E142" s="13" t="s">
        <v>517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hidden="1" customHeight="1">
      <c r="D143" s="13">
        <v>133</v>
      </c>
      <c r="E143" s="13" t="s">
        <v>518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hidden="1" customHeight="1">
      <c r="D144" s="15">
        <v>134</v>
      </c>
      <c r="E144" s="13" t="s">
        <v>519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hidden="1" customHeight="1">
      <c r="D145" s="13">
        <v>135</v>
      </c>
      <c r="E145" s="13" t="s">
        <v>520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hidden="1" customHeight="1">
      <c r="D146" s="15">
        <v>136</v>
      </c>
      <c r="E146" s="13" t="s">
        <v>521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hidden="1" customHeight="1">
      <c r="D147" s="13">
        <v>137</v>
      </c>
      <c r="E147" s="13" t="s">
        <v>522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hidden="1" customHeight="1">
      <c r="D148" s="15">
        <v>138</v>
      </c>
      <c r="E148" s="13" t="s">
        <v>523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hidden="1" customHeight="1">
      <c r="D149" s="13">
        <v>139</v>
      </c>
      <c r="E149" s="13" t="s">
        <v>524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hidden="1" customHeight="1">
      <c r="D150" s="15">
        <v>140</v>
      </c>
      <c r="E150" s="13" t="s">
        <v>525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hidden="1" customHeight="1">
      <c r="D151" s="13">
        <v>141</v>
      </c>
      <c r="E151" s="13" t="s">
        <v>526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hidden="1" customHeight="1">
      <c r="D152" s="15">
        <v>142</v>
      </c>
      <c r="E152" s="13" t="s">
        <v>527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hidden="1" customHeight="1">
      <c r="D153" s="13">
        <v>143</v>
      </c>
      <c r="E153" s="13" t="s">
        <v>528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hidden="1" customHeight="1">
      <c r="D154" s="15">
        <v>144</v>
      </c>
      <c r="E154" s="13" t="s">
        <v>529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hidden="1" customHeight="1">
      <c r="D155" s="13">
        <v>145</v>
      </c>
      <c r="E155" s="13" t="s">
        <v>530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hidden="1" customHeight="1">
      <c r="D156" s="15">
        <v>146</v>
      </c>
      <c r="E156" s="13" t="s">
        <v>531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hidden="1" customHeight="1">
      <c r="D157" s="13">
        <v>147</v>
      </c>
      <c r="E157" s="13" t="s">
        <v>532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hidden="1" customHeight="1">
      <c r="D158" s="15">
        <v>148</v>
      </c>
      <c r="E158" s="13" t="s">
        <v>533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hidden="1" customHeight="1">
      <c r="D159" s="13">
        <v>149</v>
      </c>
      <c r="E159" s="13" t="s">
        <v>534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hidden="1" customHeight="1">
      <c r="D160" s="15">
        <v>150</v>
      </c>
      <c r="E160" s="13" t="s">
        <v>535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hidden="1" customHeight="1">
      <c r="D161" s="13">
        <v>151</v>
      </c>
      <c r="E161" s="13" t="s">
        <v>536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hidden="1" customHeight="1">
      <c r="D162" s="15">
        <v>152</v>
      </c>
      <c r="E162" s="13" t="s">
        <v>537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hidden="1" customHeight="1">
      <c r="D163" s="13">
        <v>153</v>
      </c>
      <c r="E163" s="13" t="s">
        <v>538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hidden="1" customHeight="1">
      <c r="D164" s="15">
        <v>154</v>
      </c>
      <c r="E164" s="13" t="s">
        <v>539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hidden="1" customHeight="1">
      <c r="D165" s="13">
        <v>155</v>
      </c>
      <c r="E165" s="13" t="s">
        <v>540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hidden="1" customHeight="1">
      <c r="D166" s="15">
        <v>156</v>
      </c>
      <c r="E166" s="13" t="s">
        <v>541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hidden="1" customHeight="1">
      <c r="D167" s="13">
        <v>157</v>
      </c>
      <c r="E167" s="13" t="s">
        <v>542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hidden="1" customHeight="1">
      <c r="D168" s="15">
        <v>158</v>
      </c>
      <c r="E168" s="13" t="s">
        <v>543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hidden="1" customHeight="1">
      <c r="D169" s="13">
        <v>159</v>
      </c>
      <c r="E169" s="13" t="s">
        <v>544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hidden="1" customHeight="1">
      <c r="D170" s="15">
        <v>160</v>
      </c>
      <c r="E170" s="13" t="s">
        <v>545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hidden="1" customHeight="1">
      <c r="D171" s="13">
        <v>161</v>
      </c>
      <c r="E171" s="13" t="s">
        <v>546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hidden="1" customHeight="1">
      <c r="D172" s="15">
        <v>162</v>
      </c>
      <c r="E172" s="13" t="s">
        <v>547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hidden="1" customHeight="1">
      <c r="D173" s="13">
        <v>163</v>
      </c>
      <c r="E173" s="13" t="s">
        <v>548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hidden="1" customHeight="1">
      <c r="D174" s="15">
        <v>164</v>
      </c>
      <c r="E174" s="13" t="s">
        <v>549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hidden="1" customHeight="1">
      <c r="D175" s="13">
        <v>165</v>
      </c>
      <c r="E175" s="13" t="s">
        <v>550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hidden="1" customHeight="1">
      <c r="D176" s="15">
        <v>166</v>
      </c>
      <c r="E176" s="13" t="s">
        <v>551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hidden="1" customHeight="1">
      <c r="D177" s="13">
        <v>167</v>
      </c>
      <c r="E177" s="13" t="s">
        <v>552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hidden="1" customHeight="1">
      <c r="D178" s="15">
        <v>168</v>
      </c>
      <c r="E178" s="13" t="s">
        <v>553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hidden="1" customHeight="1">
      <c r="D179" s="13">
        <v>169</v>
      </c>
      <c r="E179" s="13" t="s">
        <v>554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hidden="1" customHeight="1">
      <c r="D180" s="15">
        <v>170</v>
      </c>
      <c r="E180" s="13" t="s">
        <v>555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hidden="1" customHeight="1">
      <c r="D181" s="13">
        <v>171</v>
      </c>
      <c r="E181" s="13" t="s">
        <v>556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hidden="1" customHeight="1">
      <c r="D182" s="15">
        <v>172</v>
      </c>
      <c r="E182" s="13" t="s">
        <v>557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hidden="1" customHeight="1">
      <c r="D183" s="13">
        <v>173</v>
      </c>
      <c r="E183" s="13" t="s">
        <v>558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hidden="1" customHeight="1">
      <c r="D184" s="15">
        <v>174</v>
      </c>
      <c r="E184" s="13" t="s">
        <v>559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hidden="1" customHeight="1">
      <c r="D185" s="13">
        <v>175</v>
      </c>
      <c r="E185" s="13" t="s">
        <v>560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hidden="1" customHeight="1">
      <c r="D186" s="15">
        <v>176</v>
      </c>
      <c r="E186" s="13" t="s">
        <v>561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hidden="1" customHeight="1">
      <c r="D187" s="13">
        <v>177</v>
      </c>
      <c r="E187" s="13" t="s">
        <v>562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hidden="1" customHeight="1">
      <c r="D188" s="15">
        <v>178</v>
      </c>
      <c r="E188" s="13" t="s">
        <v>563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hidden="1" customHeight="1">
      <c r="D189" s="13">
        <v>179</v>
      </c>
      <c r="E189" s="13" t="s">
        <v>564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hidden="1" customHeight="1">
      <c r="D190" s="15">
        <v>180</v>
      </c>
      <c r="E190" s="13" t="s">
        <v>565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hidden="1" customHeight="1">
      <c r="D191" s="13">
        <v>181</v>
      </c>
      <c r="E191" s="13" t="s">
        <v>566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hidden="1" customHeight="1">
      <c r="D192" s="15">
        <v>182</v>
      </c>
      <c r="E192" s="13" t="s">
        <v>567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hidden="1" customHeight="1">
      <c r="D193" s="13">
        <v>183</v>
      </c>
      <c r="E193" s="13" t="s">
        <v>568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hidden="1" customHeight="1">
      <c r="D194" s="15">
        <v>184</v>
      </c>
      <c r="E194" s="13" t="s">
        <v>569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hidden="1" customHeight="1">
      <c r="D195" s="13">
        <v>185</v>
      </c>
      <c r="E195" s="13" t="s">
        <v>570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hidden="1" customHeight="1">
      <c r="D196" s="15">
        <v>186</v>
      </c>
      <c r="E196" s="13" t="s">
        <v>571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hidden="1" customHeight="1">
      <c r="D197" s="13">
        <v>187</v>
      </c>
      <c r="E197" s="13" t="s">
        <v>572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hidden="1" customHeight="1">
      <c r="D198" s="15">
        <v>188</v>
      </c>
      <c r="E198" s="13" t="s">
        <v>573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hidden="1" customHeight="1">
      <c r="D199" s="13">
        <v>189</v>
      </c>
      <c r="E199" s="13" t="s">
        <v>574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hidden="1" customHeight="1">
      <c r="D200" s="15">
        <v>190</v>
      </c>
      <c r="E200" s="13" t="s">
        <v>575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hidden="1" customHeight="1">
      <c r="D201" s="13">
        <v>191</v>
      </c>
      <c r="E201" s="13" t="s">
        <v>576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hidden="1" customHeight="1">
      <c r="D202" s="15">
        <v>192</v>
      </c>
      <c r="E202" s="13" t="s">
        <v>577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hidden="1" customHeight="1">
      <c r="D203" s="13">
        <v>193</v>
      </c>
      <c r="E203" s="13" t="s">
        <v>578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hidden="1" customHeight="1">
      <c r="D204" s="15">
        <v>194</v>
      </c>
      <c r="E204" s="13" t="s">
        <v>579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hidden="1" customHeight="1">
      <c r="D205" s="13">
        <v>195</v>
      </c>
      <c r="E205" s="13" t="s">
        <v>580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hidden="1" customHeight="1">
      <c r="D206" s="15">
        <v>196</v>
      </c>
      <c r="E206" s="13" t="s">
        <v>581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hidden="1" customHeight="1">
      <c r="D207" s="13">
        <v>197</v>
      </c>
      <c r="E207" s="13" t="s">
        <v>582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hidden="1" customHeight="1">
      <c r="D208" s="15">
        <v>198</v>
      </c>
      <c r="E208" s="13" t="s">
        <v>583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hidden="1" customHeight="1">
      <c r="D209" s="13">
        <v>199</v>
      </c>
      <c r="E209" s="13" t="s">
        <v>584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hidden="1" customHeight="1">
      <c r="D210" s="15">
        <v>200</v>
      </c>
      <c r="E210" s="13" t="s">
        <v>585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hidden="1" customHeight="1">
      <c r="D211" s="13">
        <v>201</v>
      </c>
      <c r="E211" s="13" t="s">
        <v>586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hidden="1" customHeight="1">
      <c r="D212" s="15">
        <v>202</v>
      </c>
      <c r="E212" s="13" t="s">
        <v>587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hidden="1" customHeight="1">
      <c r="D213" s="13">
        <v>203</v>
      </c>
      <c r="E213" s="13" t="s">
        <v>588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hidden="1" customHeight="1">
      <c r="D214" s="15">
        <v>204</v>
      </c>
      <c r="E214" s="13" t="s">
        <v>589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hidden="1" customHeight="1">
      <c r="D215" s="13">
        <v>205</v>
      </c>
      <c r="E215" s="13" t="s">
        <v>590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hidden="1" customHeight="1">
      <c r="D216" s="15">
        <v>206</v>
      </c>
      <c r="E216" s="13" t="s">
        <v>591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hidden="1" customHeight="1">
      <c r="D217" s="13">
        <v>207</v>
      </c>
      <c r="E217" s="13" t="s">
        <v>592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hidden="1" customHeight="1">
      <c r="D218" s="15">
        <v>208</v>
      </c>
      <c r="E218" s="13" t="s">
        <v>593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hidden="1" customHeight="1">
      <c r="D219" s="13">
        <v>209</v>
      </c>
      <c r="E219" s="13" t="s">
        <v>594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hidden="1" customHeight="1">
      <c r="D220" s="15">
        <v>210</v>
      </c>
      <c r="E220" s="13" t="s">
        <v>595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hidden="1" customHeight="1">
      <c r="D221" s="13">
        <v>211</v>
      </c>
      <c r="E221" s="13" t="s">
        <v>596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hidden="1" customHeight="1">
      <c r="D222" s="15">
        <v>212</v>
      </c>
      <c r="E222" s="13" t="s">
        <v>597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hidden="1" customHeight="1">
      <c r="D223" s="13">
        <v>213</v>
      </c>
      <c r="E223" s="13" t="s">
        <v>598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hidden="1" customHeight="1">
      <c r="D224" s="15">
        <v>214</v>
      </c>
      <c r="E224" s="13" t="s">
        <v>599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hidden="1" customHeight="1">
      <c r="D225" s="13">
        <v>215</v>
      </c>
      <c r="E225" s="13" t="s">
        <v>600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hidden="1" customHeight="1">
      <c r="D226" s="15">
        <v>216</v>
      </c>
      <c r="E226" s="13" t="s">
        <v>601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hidden="1" customHeight="1">
      <c r="D227" s="13">
        <v>217</v>
      </c>
      <c r="E227" s="13" t="s">
        <v>602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hidden="1" customHeight="1">
      <c r="D228" s="15">
        <v>218</v>
      </c>
      <c r="E228" s="13" t="s">
        <v>603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hidden="1" customHeight="1">
      <c r="D229" s="13">
        <v>219</v>
      </c>
      <c r="E229" s="13" t="s">
        <v>604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hidden="1" customHeight="1">
      <c r="D230" s="15">
        <v>220</v>
      </c>
      <c r="E230" s="13" t="s">
        <v>605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hidden="1" customHeight="1">
      <c r="D231" s="13">
        <v>221</v>
      </c>
      <c r="E231" s="13" t="s">
        <v>606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hidden="1" customHeight="1">
      <c r="D232" s="15">
        <v>222</v>
      </c>
      <c r="E232" s="13" t="s">
        <v>607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hidden="1" customHeight="1">
      <c r="D233" s="13">
        <v>223</v>
      </c>
      <c r="E233" s="13" t="s">
        <v>608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hidden="1" customHeight="1">
      <c r="D234" s="15">
        <v>224</v>
      </c>
      <c r="E234" s="13" t="s">
        <v>609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hidden="1" customHeight="1">
      <c r="D235" s="13">
        <v>225</v>
      </c>
      <c r="E235" s="13" t="s">
        <v>610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hidden="1" customHeight="1">
      <c r="D236" s="15">
        <v>226</v>
      </c>
      <c r="E236" s="13" t="s">
        <v>611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hidden="1" customHeight="1">
      <c r="D237" s="13">
        <v>227</v>
      </c>
      <c r="E237" s="13" t="s">
        <v>612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hidden="1" customHeight="1">
      <c r="D238" s="15">
        <v>228</v>
      </c>
      <c r="E238" s="13" t="s">
        <v>613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hidden="1" customHeight="1">
      <c r="D239" s="13">
        <v>229</v>
      </c>
      <c r="E239" s="13" t="s">
        <v>614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hidden="1" customHeight="1">
      <c r="D240" s="15">
        <v>230</v>
      </c>
      <c r="E240" s="13" t="s">
        <v>615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hidden="1" customHeight="1">
      <c r="D241" s="13">
        <v>231</v>
      </c>
      <c r="E241" s="13" t="s">
        <v>616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hidden="1" customHeight="1">
      <c r="D242" s="15">
        <v>232</v>
      </c>
      <c r="E242" s="13" t="s">
        <v>617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hidden="1" customHeight="1">
      <c r="D243" s="13">
        <v>233</v>
      </c>
      <c r="E243" s="13" t="s">
        <v>618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hidden="1" customHeight="1">
      <c r="D244" s="15">
        <v>234</v>
      </c>
      <c r="E244" s="13" t="s">
        <v>619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hidden="1" customHeight="1">
      <c r="D245" s="13">
        <v>235</v>
      </c>
      <c r="E245" s="13" t="s">
        <v>620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hidden="1" customHeight="1">
      <c r="D246" s="15">
        <v>236</v>
      </c>
      <c r="E246" s="13" t="s">
        <v>621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hidden="1" customHeight="1">
      <c r="D247" s="13">
        <v>237</v>
      </c>
      <c r="E247" s="13" t="s">
        <v>622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hidden="1" customHeight="1">
      <c r="D248" s="15">
        <v>238</v>
      </c>
      <c r="E248" s="13" t="s">
        <v>623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hidden="1" customHeight="1">
      <c r="D249" s="13">
        <v>239</v>
      </c>
      <c r="E249" s="13" t="s">
        <v>624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hidden="1" customHeight="1">
      <c r="D250" s="15">
        <v>240</v>
      </c>
      <c r="E250" s="13" t="s">
        <v>625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hidden="1" customHeight="1">
      <c r="D251" s="13">
        <v>241</v>
      </c>
      <c r="E251" s="13" t="s">
        <v>626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hidden="1" customHeight="1">
      <c r="D252" s="15">
        <v>242</v>
      </c>
      <c r="E252" s="13" t="s">
        <v>627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hidden="1" customHeight="1">
      <c r="D253" s="13">
        <v>243</v>
      </c>
      <c r="E253" s="13" t="s">
        <v>628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hidden="1" customHeight="1">
      <c r="D254" s="15">
        <v>244</v>
      </c>
      <c r="E254" s="13" t="s">
        <v>629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hidden="1" customHeight="1">
      <c r="D255" s="13">
        <v>245</v>
      </c>
      <c r="E255" s="13" t="s">
        <v>630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hidden="1" customHeight="1">
      <c r="D256" s="15">
        <v>246</v>
      </c>
      <c r="E256" s="13" t="s">
        <v>631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hidden="1" customHeight="1">
      <c r="D257" s="13">
        <v>247</v>
      </c>
      <c r="E257" s="13" t="s">
        <v>632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hidden="1" customHeight="1">
      <c r="D258" s="15">
        <v>248</v>
      </c>
      <c r="E258" s="13" t="s">
        <v>633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hidden="1" customHeight="1">
      <c r="D259" s="13">
        <v>249</v>
      </c>
      <c r="E259" s="13" t="s">
        <v>634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hidden="1" customHeight="1">
      <c r="D260" s="15">
        <v>250</v>
      </c>
      <c r="E260" s="13" t="s">
        <v>635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hidden="1" customHeight="1">
      <c r="D261" s="13">
        <v>251</v>
      </c>
      <c r="E261" s="13" t="s">
        <v>636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hidden="1" customHeight="1">
      <c r="D262" s="15">
        <v>252</v>
      </c>
      <c r="E262" s="13" t="s">
        <v>637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hidden="1" customHeight="1">
      <c r="D263" s="13">
        <v>253</v>
      </c>
      <c r="E263" s="13" t="s">
        <v>638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hidden="1" customHeight="1">
      <c r="D264" s="15">
        <v>254</v>
      </c>
      <c r="E264" s="13" t="s">
        <v>639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hidden="1" customHeight="1">
      <c r="D265" s="13">
        <v>255</v>
      </c>
      <c r="E265" s="13" t="s">
        <v>640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hidden="1" customHeight="1">
      <c r="D266" s="15">
        <v>256</v>
      </c>
      <c r="E266" s="13" t="s">
        <v>641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hidden="1" customHeight="1">
      <c r="D267" s="13">
        <v>257</v>
      </c>
      <c r="E267" s="13" t="s">
        <v>642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hidden="1" customHeight="1">
      <c r="D268" s="15">
        <v>258</v>
      </c>
      <c r="E268" s="13" t="s">
        <v>643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hidden="1" customHeight="1">
      <c r="D269" s="13">
        <v>259</v>
      </c>
      <c r="E269" s="13" t="s">
        <v>644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hidden="1" customHeight="1">
      <c r="D270" s="15">
        <v>260</v>
      </c>
      <c r="E270" s="13" t="s">
        <v>645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hidden="1" customHeight="1">
      <c r="D271" s="13">
        <v>261</v>
      </c>
      <c r="E271" s="13" t="s">
        <v>646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hidden="1" customHeight="1">
      <c r="D272" s="15">
        <v>262</v>
      </c>
      <c r="E272" s="13" t="s">
        <v>647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hidden="1" customHeight="1">
      <c r="D273" s="13">
        <v>263</v>
      </c>
      <c r="E273" s="13" t="s">
        <v>648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hidden="1" customHeight="1">
      <c r="D274" s="15">
        <v>264</v>
      </c>
      <c r="E274" s="13" t="s">
        <v>649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hidden="1" customHeight="1">
      <c r="D275" s="13">
        <v>265</v>
      </c>
      <c r="E275" s="13" t="s">
        <v>650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hidden="1" customHeight="1">
      <c r="D276" s="15">
        <v>266</v>
      </c>
      <c r="E276" s="13" t="s">
        <v>651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hidden="1" customHeight="1">
      <c r="D277" s="13">
        <v>267</v>
      </c>
      <c r="E277" s="13" t="s">
        <v>652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hidden="1" customHeight="1">
      <c r="D278" s="15">
        <v>268</v>
      </c>
      <c r="E278" s="13" t="s">
        <v>653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hidden="1" customHeight="1">
      <c r="D279" s="13">
        <v>269</v>
      </c>
      <c r="E279" s="13" t="s">
        <v>654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hidden="1" customHeight="1">
      <c r="D280" s="15">
        <v>270</v>
      </c>
      <c r="E280" s="13" t="s">
        <v>655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hidden="1" customHeight="1">
      <c r="D281" s="13">
        <v>271</v>
      </c>
      <c r="E281" s="13" t="s">
        <v>656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hidden="1" customHeight="1">
      <c r="D282" s="15">
        <v>272</v>
      </c>
      <c r="E282" s="13" t="s">
        <v>657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hidden="1" customHeight="1">
      <c r="D283" s="13">
        <v>273</v>
      </c>
      <c r="E283" s="13" t="s">
        <v>658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hidden="1" customHeight="1">
      <c r="D284" s="15">
        <v>274</v>
      </c>
      <c r="E284" s="13" t="s">
        <v>659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hidden="1" customHeight="1">
      <c r="D285" s="13">
        <v>275</v>
      </c>
      <c r="E285" s="13" t="s">
        <v>660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hidden="1" customHeight="1">
      <c r="D286" s="15">
        <v>276</v>
      </c>
      <c r="E286" s="13" t="s">
        <v>661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hidden="1" customHeight="1">
      <c r="D287" s="13">
        <v>277</v>
      </c>
      <c r="E287" s="13" t="s">
        <v>662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hidden="1" customHeight="1">
      <c r="D288" s="15">
        <v>278</v>
      </c>
      <c r="E288" s="13" t="s">
        <v>663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hidden="1" customHeight="1">
      <c r="D289" s="13">
        <v>279</v>
      </c>
      <c r="E289" s="13" t="s">
        <v>664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hidden="1" customHeight="1">
      <c r="D290" s="15">
        <v>280</v>
      </c>
      <c r="E290" s="13" t="s">
        <v>665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hidden="1" customHeight="1">
      <c r="D291" s="13">
        <v>281</v>
      </c>
      <c r="E291" s="13" t="s">
        <v>666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hidden="1" customHeight="1">
      <c r="D292" s="15">
        <v>282</v>
      </c>
      <c r="E292" s="13" t="s">
        <v>667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hidden="1" customHeight="1">
      <c r="D293" s="13">
        <v>283</v>
      </c>
      <c r="E293" s="13" t="s">
        <v>668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hidden="1" customHeight="1">
      <c r="D294" s="15">
        <v>284</v>
      </c>
      <c r="E294" s="13" t="s">
        <v>669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hidden="1" customHeight="1">
      <c r="D295" s="13">
        <v>285</v>
      </c>
      <c r="E295" s="13" t="s">
        <v>670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hidden="1" customHeight="1">
      <c r="D296" s="15">
        <v>286</v>
      </c>
      <c r="E296" s="13" t="s">
        <v>671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hidden="1" customHeight="1">
      <c r="D297" s="13">
        <v>287</v>
      </c>
      <c r="E297" s="13" t="s">
        <v>672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hidden="1" customHeight="1">
      <c r="D298" s="15">
        <v>288</v>
      </c>
      <c r="E298" s="13" t="s">
        <v>673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hidden="1" customHeight="1">
      <c r="D299" s="13">
        <v>289</v>
      </c>
      <c r="E299" s="13" t="s">
        <v>674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hidden="1" customHeight="1">
      <c r="D300" s="15">
        <v>290</v>
      </c>
      <c r="E300" s="13" t="s">
        <v>675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hidden="1" customHeight="1">
      <c r="D301" s="13">
        <v>291</v>
      </c>
      <c r="E301" s="13" t="s">
        <v>676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hidden="1" customHeight="1">
      <c r="D302" s="15">
        <v>292</v>
      </c>
      <c r="E302" s="13" t="s">
        <v>677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hidden="1" customHeight="1">
      <c r="D303" s="13">
        <v>293</v>
      </c>
      <c r="E303" s="13" t="s">
        <v>678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hidden="1" customHeight="1">
      <c r="D304" s="15">
        <v>294</v>
      </c>
      <c r="E304" s="13" t="s">
        <v>679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hidden="1" customHeight="1">
      <c r="D305" s="13">
        <v>295</v>
      </c>
      <c r="E305" s="13" t="s">
        <v>680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hidden="1" customHeight="1">
      <c r="D306" s="15">
        <v>296</v>
      </c>
      <c r="E306" s="13" t="s">
        <v>681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hidden="1" customHeight="1">
      <c r="D307" s="13">
        <v>297</v>
      </c>
      <c r="E307" s="13" t="s">
        <v>682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hidden="1" customHeight="1">
      <c r="D308" s="15">
        <v>298</v>
      </c>
      <c r="E308" s="13" t="s">
        <v>683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hidden="1" customHeight="1">
      <c r="D309" s="13">
        <v>299</v>
      </c>
      <c r="E309" s="13" t="s">
        <v>684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hidden="1" customHeight="1">
      <c r="D310" s="15">
        <v>300</v>
      </c>
      <c r="E310" s="13" t="s">
        <v>685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hidden="1" customHeight="1">
      <c r="D311" s="13">
        <v>301</v>
      </c>
      <c r="E311" s="13" t="s">
        <v>686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hidden="1" customHeight="1" thickBot="1">
      <c r="D312" s="15">
        <v>302</v>
      </c>
      <c r="E312" s="13" t="s">
        <v>687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hidden="1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hidden="1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hidden="1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hidden="1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hidden="1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hidden="1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hidden="1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hidden="1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hidden="1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hidden="1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hidden="1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hidden="1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hidden="1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hidden="1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hidden="1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hidden="1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hidden="1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hidden="1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hidden="1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hidden="1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hidden="1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hidden="1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hidden="1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hidden="1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hidden="1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hidden="1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hidden="1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hidden="1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hidden="1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hidden="1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hidden="1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hidden="1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hidden="1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hidden="1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hidden="1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hidden="1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hidden="1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hidden="1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hidden="1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hidden="1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hidden="1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hidden="1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hidden="1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hidden="1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hidden="1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hidden="1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hidden="1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hidden="1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hidden="1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hidden="1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1">
      <filters>
        <filter val="IT"/>
      </filters>
    </filterColumn>
  </autoFilter>
  <customSheetViews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F1D6A898-A1BA-401B-BBB6-A216F39CDC51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12823948-6623-424B-B53D-BEDFA9E4D632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FE482509-DA84-4439-B75B-6E82058E759D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774E8E61-3B4E-4F98-84D6-084B8CB2344C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7CBA412E-FF5B-49D3-89CA-A50CD8418B0B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D6B91B85-10F0-470B-AC74-476D148FAB84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36015719-7579-4DAB-BA96-0406D1BBB2C1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562B7833-DD16-4646-A743-D9F1E186ACEE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79CE3A4A-ECB1-433C-8B89-ACCBDA88E92D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5051576E-745E-42E1-91DB-3DEFD8D3889D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7450F449-F9EB-48BB-B68F-FC602F1AC9C2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844B00BD-7126-4C92-8238-65F645ADC6DD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C37ED674-F7BA-47E7-A52B-B40269B00016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0B74C839-6150-4BE6-9258-8DC24E2D23C2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5D3DC7B7-F7A4-45A3-A8ED-10E0B61840CA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C4B5D6EE-88EE-493D-B8EC-D70BC4614D01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ECA94CF8-95C0-4DDD-ABC2-AAE75532C793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EC4341D1-5B88-4D10-99BF-8AB9CA817B0E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8BF1BE77-9DA6-4577-93BD-FB78D47F34AC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470A58AD-37AB-4A2E-B9DD-6D507F309DFE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59260240-18E0-4CE6-B499-946324A4CE98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32D638FC-DBD1-4841-A2C8-F7C27C061EED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6D26AD21-CDB0-449D-86E8-4A30D3FF4AD7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239854FA-38B7-4CDE-8642-E20B34155B18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6DC6722A-EC92-4237-8003-7E812F03EB0B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07A10C46-A64F-418F-825D-2D2DDD788EA7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8CCEE4B3-D54D-40AE-A0C3-E63EC5C952CA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2B5A97D9-0E8C-4779-97AE-E7D234C14984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335CD343-3C8E-4D03-BEA0-D56CD8C500BD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3378DE24-5390-4DF7-910F-02E4FF720E24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CE1BE2C6-5798-4BC0-9C6B-D5DDDED45371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9202C092-755C-46A1-AA07-B67C35ADB010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91DDCAD8-FACB-42FC-A699-4F6DAF546AA6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CB1D5D66-6AC7-45FF-8192-1C93BD62C792}"/>
    </customSheetView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F687E83A-A2DB-47A3-87EB-9ADCF4CF029C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AF11:AF1048576 H18:H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" xr:uid="{00000000-0002-0000-0000-000011000000}">
      <formula1>44197</formula1>
      <formula2>47848</formula2>
    </dataValidation>
  </dataValidations>
  <pageMargins left="0.25" right="0" top="0.25" bottom="0" header="0" footer="0"/>
  <pageSetup paperSize="8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1047750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504825</xdr:colOff>
                    <xdr:row>2</xdr:row>
                    <xdr:rowOff>38100</xdr:rowOff>
                  </from>
                  <to>
                    <xdr:col>12</xdr:col>
                    <xdr:colOff>504825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28" zoomScale="70" zoomScaleNormal="70" zoomScaleSheetLayoutView="80" zoomScalePageLayoutView="80" workbookViewId="0">
      <selection activeCell="AB48" sqref="AB48"/>
    </sheetView>
  </sheetViews>
  <sheetFormatPr defaultColWidth="3.42578125" defaultRowHeight="19.899999999999999" customHeight="1" outlineLevelRow="1"/>
  <cols>
    <col min="1" max="1" width="2.42578125" style="55" customWidth="1"/>
    <col min="2" max="2" width="0.42578125" style="55" customWidth="1"/>
    <col min="3" max="3" width="1.42578125" style="55" customWidth="1"/>
    <col min="4" max="45" width="4" style="55" customWidth="1"/>
    <col min="46" max="46" width="1.42578125" style="55" customWidth="1"/>
    <col min="47" max="47" width="0.42578125" style="55" customWidth="1"/>
    <col min="48" max="48" width="3.42578125" style="55"/>
    <col min="49" max="49" width="21.42578125" style="55" bestFit="1" customWidth="1"/>
    <col min="50" max="58" width="3.42578125" style="55"/>
    <col min="59" max="59" width="5.42578125" style="55" bestFit="1" customWidth="1"/>
    <col min="60" max="16384" width="3.42578125" style="55"/>
  </cols>
  <sheetData>
    <row r="1" spans="3:52" ht="10.15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899999999999999" hidden="1" customHeight="1" outlineLevel="1">
      <c r="C2" s="100"/>
      <c r="D2" s="101" t="s">
        <v>99</v>
      </c>
      <c r="E2" s="100"/>
      <c r="F2" s="103" t="str">
        <f ca="1">JobSelection</f>
        <v>EN-26-017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899999999999999" hidden="1" customHeight="1" outlineLevel="1">
      <c r="C3" s="100"/>
      <c r="D3" s="139" t="s">
        <v>98</v>
      </c>
      <c r="E3" s="140"/>
      <c r="F3" s="140" t="s">
        <v>218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899999999999999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Other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899999999999999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ย้ายสายโทรศัพเบอร์เดิม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899999999999999" hidden="1" customHeight="1" outlineLevel="1">
      <c r="C6" s="100"/>
      <c r="D6" s="102">
        <v>5</v>
      </c>
      <c r="E6" s="100"/>
      <c r="F6" s="100" t="s">
        <v>219</v>
      </c>
      <c r="G6" s="100"/>
      <c r="H6" s="100"/>
      <c r="I6" s="100"/>
      <c r="J6" s="100"/>
      <c r="K6" s="100"/>
      <c r="L6" s="103">
        <f t="array" aca="1" ref="L6" ca="1">VLOOKUP($F$2,DataRecord,D6,0)</f>
        <v>46155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899999999999999" hidden="1" customHeight="1" outlineLevel="1">
      <c r="C7" s="100"/>
      <c r="D7" s="102">
        <v>6</v>
      </c>
      <c r="E7" s="100"/>
      <c r="F7" s="100" t="s">
        <v>220</v>
      </c>
      <c r="G7" s="100"/>
      <c r="H7" s="100"/>
      <c r="I7" s="100"/>
      <c r="J7" s="100"/>
      <c r="K7" s="100"/>
      <c r="L7" s="103" t="str">
        <f t="array" aca="1" ref="L7" ca="1">VLOOKUP($F$2,DataRecord,D7,0)</f>
        <v>08.30 AM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899999999999999" hidden="1" customHeight="1" outlineLevel="1">
      <c r="C8" s="100"/>
      <c r="D8" s="102">
        <v>7</v>
      </c>
      <c r="E8" s="100"/>
      <c r="F8" s="100" t="s">
        <v>221</v>
      </c>
      <c r="G8" s="100"/>
      <c r="H8" s="100"/>
      <c r="I8" s="100"/>
      <c r="J8" s="100"/>
      <c r="K8" s="100"/>
      <c r="L8" s="103" t="str">
        <f t="array" aca="1" ref="L8" ca="1">VLOOKUP($F$2,DataRecord,D8,0)</f>
        <v>Other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899999999999999" hidden="1" customHeight="1" outlineLevel="1">
      <c r="C9" s="100"/>
      <c r="D9" s="102">
        <v>8</v>
      </c>
      <c r="E9" s="100"/>
      <c r="F9" s="100" t="s">
        <v>222</v>
      </c>
      <c r="G9" s="100"/>
      <c r="H9" s="100"/>
      <c r="I9" s="100"/>
      <c r="J9" s="100"/>
      <c r="K9" s="100"/>
      <c r="L9" s="103" t="str">
        <f t="array" aca="1" ref="L9" ca="1">VLOOKUP($F$2,DataRecord,D9,0)</f>
        <v>Modify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899999999999999" hidden="1" customHeight="1" outlineLevel="1">
      <c r="C10" s="100"/>
      <c r="D10" s="102">
        <v>9</v>
      </c>
      <c r="E10" s="100"/>
      <c r="F10" s="100" t="s">
        <v>223</v>
      </c>
      <c r="G10" s="100"/>
      <c r="H10" s="100"/>
      <c r="I10" s="100"/>
      <c r="J10" s="100"/>
      <c r="K10" s="100"/>
      <c r="L10" s="103">
        <f t="array" aca="1" ref="L10" ca="1">VLOOKUP($F$2,DataRecord,D10,0)</f>
        <v>0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899999999999999" hidden="1" customHeight="1" outlineLevel="1">
      <c r="C11" s="100"/>
      <c r="D11" s="102">
        <v>11</v>
      </c>
      <c r="E11" s="100"/>
      <c r="F11" s="100" t="s">
        <v>224</v>
      </c>
      <c r="G11" s="100"/>
      <c r="H11" s="100"/>
      <c r="I11" s="100"/>
      <c r="J11" s="100"/>
      <c r="K11" s="100"/>
      <c r="L11" s="103" t="str">
        <f t="array" aca="1" ref="L11" ca="1">VLOOKUP($F$2,DataRecord,D11,0)</f>
        <v>ตอนนี้สายอยู่บนพรมไม่ได้เดินสายไว้ด้านล่าง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899999999999999" hidden="1" customHeight="1" outlineLevel="1">
      <c r="C12" s="100"/>
      <c r="D12" s="102">
        <v>4</v>
      </c>
      <c r="E12" s="100"/>
      <c r="F12" s="100" t="s">
        <v>225</v>
      </c>
      <c r="G12" s="103"/>
      <c r="H12" s="100"/>
      <c r="I12" s="100"/>
      <c r="J12" s="100"/>
      <c r="K12" s="100"/>
      <c r="L12" s="103" t="str">
        <f t="array" aca="1" ref="L12" ca="1">VLOOKUP($F$2,DataRecord,D12,0)</f>
        <v>สำลี ชัยศิรินทร์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899999999999999" hidden="1" customHeight="1" outlineLevel="1">
      <c r="C13" s="100"/>
      <c r="D13" s="102">
        <v>12</v>
      </c>
      <c r="E13" s="100"/>
      <c r="F13" s="100" t="s">
        <v>170</v>
      </c>
      <c r="G13" s="103"/>
      <c r="H13" s="100"/>
      <c r="I13" s="100"/>
      <c r="J13" s="100"/>
      <c r="K13" s="100"/>
      <c r="L13" s="103">
        <f t="array" aca="1" ref="L13" ca="1">VLOOKUP($F$2,DataRecord,D13,0)</f>
        <v>0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899999999999999" hidden="1" customHeight="1" outlineLevel="1">
      <c r="C14" s="100"/>
      <c r="D14" s="102">
        <v>13</v>
      </c>
      <c r="E14" s="100"/>
      <c r="F14" s="100" t="s">
        <v>233</v>
      </c>
      <c r="G14" s="103"/>
      <c r="H14" s="100"/>
      <c r="I14" s="100"/>
      <c r="J14" s="100"/>
      <c r="K14" s="100"/>
      <c r="L14" s="103">
        <f t="array" aca="1" ref="L14" ca="1">VLOOKUP($F$2,DataRecord,D14,0)</f>
        <v>0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899999999999999" hidden="1" customHeight="1" outlineLevel="1">
      <c r="C15" s="100"/>
      <c r="D15" s="102">
        <v>14</v>
      </c>
      <c r="E15" s="100"/>
      <c r="F15" s="100" t="s">
        <v>265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899999999999999" hidden="1" customHeight="1" outlineLevel="1">
      <c r="C16" s="100"/>
      <c r="D16" s="102">
        <v>15</v>
      </c>
      <c r="E16" s="100"/>
      <c r="F16" s="100" t="s">
        <v>270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899999999999999" hidden="1" customHeight="1" outlineLevel="1">
      <c r="C17" s="100"/>
      <c r="D17" s="102">
        <v>16</v>
      </c>
      <c r="E17" s="100"/>
      <c r="F17" s="100" t="s">
        <v>281</v>
      </c>
      <c r="G17" s="103"/>
      <c r="H17" s="100"/>
      <c r="I17" s="100"/>
      <c r="J17" s="100"/>
      <c r="K17" s="100"/>
      <c r="L17" s="103">
        <f t="array" aca="1" ref="L17" ca="1">VLOOKUP($F$2,DataRecord,D17,0)</f>
        <v>0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899999999999999" hidden="1" customHeight="1" outlineLevel="1">
      <c r="C18" s="100"/>
      <c r="D18" s="102">
        <v>17</v>
      </c>
      <c r="E18" s="100"/>
      <c r="F18" s="100" t="s">
        <v>282</v>
      </c>
      <c r="G18" s="103"/>
      <c r="H18" s="100"/>
      <c r="I18" s="100"/>
      <c r="J18" s="100"/>
      <c r="K18" s="100"/>
      <c r="L18" s="103">
        <f t="array" aca="1" ref="L18" ca="1">VLOOKUP($F$2,DataRecord,D18,0)</f>
        <v>0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899999999999999" hidden="1" customHeight="1" outlineLevel="1">
      <c r="C19" s="100"/>
      <c r="D19" s="102">
        <v>18</v>
      </c>
      <c r="E19" s="100"/>
      <c r="F19" s="100" t="s">
        <v>235</v>
      </c>
      <c r="G19" s="103"/>
      <c r="H19" s="100"/>
      <c r="I19" s="100"/>
      <c r="J19" s="100"/>
      <c r="K19" s="100"/>
      <c r="L19" s="103">
        <f t="array" aca="1" ref="L19" ca="1">VLOOKUP($F$2,DataRecord,D19,0)</f>
        <v>0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899999999999999" hidden="1" customHeight="1" outlineLevel="1">
      <c r="C20" s="100"/>
      <c r="D20" s="102">
        <v>19</v>
      </c>
      <c r="E20" s="100"/>
      <c r="F20" s="100" t="s">
        <v>269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899999999999999" hidden="1" customHeight="1" outlineLevel="1">
      <c r="C21" s="100"/>
      <c r="D21" s="100">
        <v>20</v>
      </c>
      <c r="E21" s="100"/>
      <c r="F21" s="100" t="s">
        <v>263</v>
      </c>
      <c r="G21" s="100"/>
      <c r="H21" s="100"/>
      <c r="I21" s="100"/>
      <c r="J21" s="100"/>
      <c r="K21" s="100"/>
      <c r="L21" s="103">
        <f t="array" aca="1" ref="L21" ca="1">VLOOKUP($F$2,DataRecord,D21,0)</f>
        <v>0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899999999999999" hidden="1" customHeight="1" outlineLevel="1">
      <c r="C22" s="100"/>
      <c r="D22" s="100">
        <v>21</v>
      </c>
      <c r="E22" s="100"/>
      <c r="F22" s="100" t="s">
        <v>261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899999999999999" hidden="1" customHeight="1" outlineLevel="1">
      <c r="C23" s="100"/>
      <c r="D23" s="100">
        <v>29</v>
      </c>
      <c r="E23" s="100"/>
      <c r="F23" s="100" t="s">
        <v>226</v>
      </c>
      <c r="G23" s="100"/>
      <c r="H23" s="100"/>
      <c r="I23" s="100"/>
      <c r="J23" s="100"/>
      <c r="K23" s="100"/>
      <c r="L23" s="103">
        <f t="array" aca="1" ref="L23" ca="1">VLOOKUP($F$2,DataRecord,D23,0)</f>
        <v>0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899999999999999" hidden="1" customHeight="1" outlineLevel="1">
      <c r="C24" s="100"/>
      <c r="D24" s="100">
        <v>22</v>
      </c>
      <c r="E24" s="100"/>
      <c r="F24" s="100" t="s">
        <v>241</v>
      </c>
      <c r="G24" s="100"/>
      <c r="H24" s="100"/>
      <c r="I24" s="100"/>
      <c r="J24" s="100"/>
      <c r="K24" s="100"/>
      <c r="L24" s="103">
        <f t="array" aca="1" ref="L24" ca="1">VLOOKUP($F$2,DataRecord,D24,0)</f>
        <v>0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899999999999999" hidden="1" customHeight="1" outlineLevel="1">
      <c r="C25" s="100"/>
      <c r="D25" s="100">
        <v>23</v>
      </c>
      <c r="E25" s="100"/>
      <c r="F25" s="100" t="s">
        <v>242</v>
      </c>
      <c r="G25" s="100"/>
      <c r="H25" s="100"/>
      <c r="I25" s="100"/>
      <c r="J25" s="100"/>
      <c r="K25" s="100"/>
      <c r="L25" s="103">
        <f t="array" aca="1" ref="L25" ca="1">VLOOKUP($F$2,DataRecord,D25,0)</f>
        <v>0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899999999999999" hidden="1" customHeight="1" outlineLevel="1">
      <c r="C26" s="100"/>
      <c r="D26" s="100">
        <v>24</v>
      </c>
      <c r="E26" s="100"/>
      <c r="F26" s="100" t="s">
        <v>211</v>
      </c>
      <c r="G26" s="100"/>
      <c r="H26" s="100"/>
      <c r="I26" s="100"/>
      <c r="J26" s="100"/>
      <c r="K26" s="100"/>
      <c r="L26" s="103">
        <f t="array" aca="1" ref="L26" ca="1">VLOOKUP($F$2,DataRecord,D26,0)</f>
        <v>0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899999999999999" hidden="1" customHeight="1" outlineLevel="1">
      <c r="C27" s="100"/>
      <c r="D27" s="100">
        <v>25</v>
      </c>
      <c r="E27" s="100"/>
      <c r="F27" s="100" t="s">
        <v>212</v>
      </c>
      <c r="G27" s="100"/>
      <c r="H27" s="100"/>
      <c r="I27" s="100"/>
      <c r="J27" s="100"/>
      <c r="K27" s="100"/>
      <c r="L27" s="103">
        <f t="array" aca="1" ref="L27" ca="1">VLOOKUP($F$2,DataRecord,D27,0)</f>
        <v>0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25" collapsed="1"/>
    <row r="29" spans="3:49" ht="4.9000000000000004" customHeight="1" thickBot="1"/>
    <row r="30" spans="3:49" ht="19.899999999999999" customHeight="1">
      <c r="C30" s="372"/>
      <c r="D30" s="373"/>
      <c r="E30" s="373"/>
      <c r="F30" s="373"/>
      <c r="G30" s="342"/>
      <c r="H30" s="342"/>
      <c r="I30" s="342"/>
      <c r="J30" s="342"/>
      <c r="K30" s="342"/>
      <c r="L30" s="342"/>
      <c r="M30" s="343"/>
      <c r="N30" s="349" t="s">
        <v>23</v>
      </c>
      <c r="O30" s="350"/>
      <c r="P30" s="350"/>
      <c r="Q30" s="350"/>
      <c r="R30" s="350"/>
      <c r="S30" s="350"/>
      <c r="T30" s="350"/>
      <c r="U30" s="350"/>
      <c r="V30" s="350"/>
      <c r="W30" s="350"/>
      <c r="X30" s="350"/>
      <c r="Y30" s="350"/>
      <c r="Z30" s="350"/>
      <c r="AA30" s="350"/>
      <c r="AB30" s="350"/>
      <c r="AC30" s="350"/>
      <c r="AD30" s="350"/>
      <c r="AE30" s="350"/>
      <c r="AF30" s="350"/>
      <c r="AG30" s="350"/>
      <c r="AH30" s="350"/>
      <c r="AI30" s="350"/>
      <c r="AJ30" s="350"/>
      <c r="AK30" s="351"/>
      <c r="AL30" s="378" t="s">
        <v>69</v>
      </c>
      <c r="AM30" s="379"/>
      <c r="AN30" s="379"/>
      <c r="AO30" s="379"/>
      <c r="AP30" s="379"/>
      <c r="AQ30" s="379"/>
      <c r="AR30" s="379"/>
      <c r="AS30" s="379"/>
      <c r="AT30" s="380"/>
      <c r="AW30" s="144"/>
    </row>
    <row r="31" spans="3:49" ht="12" customHeight="1">
      <c r="C31" s="374"/>
      <c r="D31" s="375"/>
      <c r="E31" s="375"/>
      <c r="F31" s="375"/>
      <c r="G31" s="339"/>
      <c r="H31" s="339"/>
      <c r="I31" s="339"/>
      <c r="J31" s="339"/>
      <c r="K31" s="339"/>
      <c r="L31" s="339"/>
      <c r="M31" s="344"/>
      <c r="N31" s="352"/>
      <c r="O31" s="353"/>
      <c r="P31" s="353"/>
      <c r="Q31" s="353"/>
      <c r="R31" s="353"/>
      <c r="S31" s="353"/>
      <c r="T31" s="353"/>
      <c r="U31" s="353"/>
      <c r="V31" s="353"/>
      <c r="W31" s="353"/>
      <c r="X31" s="353"/>
      <c r="Y31" s="353"/>
      <c r="Z31" s="353"/>
      <c r="AA31" s="353"/>
      <c r="AB31" s="353"/>
      <c r="AC31" s="353"/>
      <c r="AD31" s="353"/>
      <c r="AE31" s="353"/>
      <c r="AF31" s="353"/>
      <c r="AG31" s="353"/>
      <c r="AH31" s="353"/>
      <c r="AI31" s="353"/>
      <c r="AJ31" s="353"/>
      <c r="AK31" s="354"/>
      <c r="AL31" s="361" t="str">
        <f ca="1">"*"&amp;AL33&amp;"*"</f>
        <v>*EN-26-017*</v>
      </c>
      <c r="AM31" s="362"/>
      <c r="AN31" s="362"/>
      <c r="AO31" s="362"/>
      <c r="AP31" s="362"/>
      <c r="AQ31" s="362"/>
      <c r="AR31" s="362"/>
      <c r="AS31" s="362"/>
      <c r="AT31" s="363"/>
      <c r="AW31" s="144"/>
    </row>
    <row r="32" spans="3:49" ht="12" customHeight="1">
      <c r="C32" s="374"/>
      <c r="D32" s="375"/>
      <c r="E32" s="375"/>
      <c r="F32" s="375"/>
      <c r="G32" s="345"/>
      <c r="H32" s="345"/>
      <c r="I32" s="345"/>
      <c r="J32" s="345"/>
      <c r="K32" s="345"/>
      <c r="L32" s="345"/>
      <c r="M32" s="346"/>
      <c r="N32" s="355" t="s">
        <v>24</v>
      </c>
      <c r="O32" s="356"/>
      <c r="P32" s="356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56"/>
      <c r="AB32" s="356"/>
      <c r="AC32" s="356"/>
      <c r="AD32" s="356"/>
      <c r="AE32" s="356"/>
      <c r="AF32" s="356"/>
      <c r="AG32" s="356"/>
      <c r="AH32" s="356"/>
      <c r="AI32" s="356"/>
      <c r="AJ32" s="356"/>
      <c r="AK32" s="357"/>
      <c r="AL32" s="361"/>
      <c r="AM32" s="362"/>
      <c r="AN32" s="362"/>
      <c r="AO32" s="362"/>
      <c r="AP32" s="362"/>
      <c r="AQ32" s="362"/>
      <c r="AR32" s="362"/>
      <c r="AS32" s="362"/>
      <c r="AT32" s="363"/>
      <c r="AW32" s="144"/>
    </row>
    <row r="33" spans="3:54" ht="19.899999999999999" customHeight="1" thickBot="1">
      <c r="C33" s="376"/>
      <c r="D33" s="377"/>
      <c r="E33" s="377"/>
      <c r="F33" s="377"/>
      <c r="G33" s="347"/>
      <c r="H33" s="347"/>
      <c r="I33" s="347"/>
      <c r="J33" s="347"/>
      <c r="K33" s="347"/>
      <c r="L33" s="347"/>
      <c r="M33" s="348"/>
      <c r="N33" s="358"/>
      <c r="O33" s="359"/>
      <c r="P33" s="359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59"/>
      <c r="AB33" s="359"/>
      <c r="AC33" s="359"/>
      <c r="AD33" s="359"/>
      <c r="AE33" s="359"/>
      <c r="AF33" s="359"/>
      <c r="AG33" s="359"/>
      <c r="AH33" s="359"/>
      <c r="AI33" s="359"/>
      <c r="AJ33" s="359"/>
      <c r="AK33" s="360"/>
      <c r="AL33" s="381" t="str">
        <f ca="1">F2</f>
        <v>EN-26-017</v>
      </c>
      <c r="AM33" s="382"/>
      <c r="AN33" s="382"/>
      <c r="AO33" s="382"/>
      <c r="AP33" s="382"/>
      <c r="AQ33" s="382"/>
      <c r="AR33" s="382"/>
      <c r="AS33" s="382"/>
      <c r="AT33" s="383"/>
      <c r="AW33" s="144"/>
    </row>
    <row r="34" spans="3:54" ht="25.15" customHeight="1">
      <c r="C34" s="332" t="s">
        <v>25</v>
      </c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4"/>
      <c r="AW34" s="146" t="s">
        <v>272</v>
      </c>
    </row>
    <row r="35" spans="3:54" ht="10.15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15" customHeight="1">
      <c r="C36" s="68"/>
      <c r="D36" s="60" t="s">
        <v>134</v>
      </c>
      <c r="M36" s="331" t="s">
        <v>100</v>
      </c>
      <c r="N36" s="331"/>
      <c r="O36" s="331"/>
      <c r="P36" s="331"/>
      <c r="Q36" s="331"/>
      <c r="R36" s="331"/>
      <c r="S36" s="331"/>
      <c r="T36" s="331"/>
      <c r="U36" s="331"/>
      <c r="V36" s="331"/>
      <c r="W36" s="331"/>
      <c r="X36" s="331"/>
      <c r="Y36" s="331"/>
      <c r="Z36" s="331"/>
      <c r="AA36" s="331"/>
      <c r="AB36" s="331"/>
      <c r="AC36" s="211"/>
      <c r="AD36" s="212"/>
      <c r="AE36" s="60" t="s">
        <v>28</v>
      </c>
      <c r="AF36" s="61"/>
      <c r="AG36" s="61"/>
      <c r="AH36" s="61"/>
      <c r="AL36" s="329">
        <f ca="1">L6</f>
        <v>46155</v>
      </c>
      <c r="AM36" s="329"/>
      <c r="AN36" s="329"/>
      <c r="AO36" s="329"/>
      <c r="AP36" s="329"/>
      <c r="AQ36" s="329"/>
      <c r="AR36" s="329"/>
      <c r="AS36" s="329"/>
      <c r="AT36" s="69"/>
    </row>
    <row r="37" spans="3:54" s="67" customFormat="1" ht="4.9000000000000004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15" customHeight="1">
      <c r="C38" s="68"/>
      <c r="D38" s="60" t="s">
        <v>27</v>
      </c>
      <c r="M38" s="335" t="str">
        <f ca="1">$L$5</f>
        <v>ย้ายสายโทรศัพเบอร์เดิม</v>
      </c>
      <c r="N38" s="335"/>
      <c r="O38" s="335"/>
      <c r="P38" s="335"/>
      <c r="Q38" s="335"/>
      <c r="R38" s="335"/>
      <c r="S38" s="335"/>
      <c r="T38" s="335"/>
      <c r="U38" s="335"/>
      <c r="V38" s="335"/>
      <c r="W38" s="335"/>
      <c r="X38" s="335"/>
      <c r="Y38" s="335"/>
      <c r="Z38" s="335"/>
      <c r="AA38" s="335"/>
      <c r="AB38" s="335"/>
      <c r="AC38" s="209"/>
      <c r="AD38" s="212"/>
      <c r="AE38" s="60" t="s">
        <v>29</v>
      </c>
      <c r="AF38" s="61"/>
      <c r="AG38" s="61"/>
      <c r="AH38" s="61"/>
      <c r="AL38" s="330" t="str">
        <f ca="1">L7</f>
        <v>08.30 AM</v>
      </c>
      <c r="AM38" s="330"/>
      <c r="AN38" s="330"/>
      <c r="AO38" s="330"/>
      <c r="AP38" s="330"/>
      <c r="AQ38" s="330"/>
      <c r="AR38" s="330"/>
      <c r="AS38" s="330"/>
      <c r="AT38" s="69"/>
    </row>
    <row r="39" spans="3:54" ht="10.15" customHeight="1">
      <c r="C39" s="56"/>
      <c r="AT39" s="57"/>
      <c r="BB39" s="55" t="s">
        <v>291</v>
      </c>
    </row>
    <row r="40" spans="3:54" s="54" customFormat="1" ht="22.9" customHeight="1">
      <c r="C40" s="58"/>
      <c r="D40" s="72" t="s">
        <v>274</v>
      </c>
      <c r="M40" s="206"/>
      <c r="N40" s="54" t="s">
        <v>30</v>
      </c>
      <c r="U40" s="207" t="str">
        <f ca="1">IF($L$8="Equipment","P","")</f>
        <v/>
      </c>
      <c r="V40" s="54" t="s">
        <v>364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>P</v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291</v>
      </c>
    </row>
    <row r="41" spans="3:54" s="54" customFormat="1" ht="4.9000000000000004" customHeight="1">
      <c r="C41" s="58"/>
      <c r="M41" s="116"/>
      <c r="U41" s="116"/>
      <c r="AE41" s="116"/>
      <c r="AT41" s="59"/>
    </row>
    <row r="42" spans="3:54" s="54" customFormat="1" ht="22.9" customHeight="1">
      <c r="C42" s="58"/>
      <c r="D42" s="72" t="s">
        <v>275</v>
      </c>
      <c r="M42" s="207"/>
      <c r="N42" s="54" t="s">
        <v>288</v>
      </c>
      <c r="U42" s="206" t="str">
        <f t="array" aca="1" ref="U42" ca="1">IF($L$9="Modify","P","")</f>
        <v>P</v>
      </c>
      <c r="V42" s="54" t="s">
        <v>33</v>
      </c>
      <c r="AE42" s="206" t="str">
        <f t="array" aca="1" ref="AE42" ca="1">IF($L$8="Machinery","P","")</f>
        <v/>
      </c>
      <c r="AF42" s="54" t="s">
        <v>34</v>
      </c>
      <c r="AT42" s="59"/>
    </row>
    <row r="43" spans="3:54" s="54" customFormat="1" ht="4.9000000000000004" customHeight="1">
      <c r="C43" s="58"/>
      <c r="M43" s="116"/>
      <c r="U43" s="116"/>
      <c r="AT43" s="59"/>
    </row>
    <row r="44" spans="3:54" s="54" customFormat="1" ht="22.9" customHeight="1">
      <c r="C44" s="58"/>
      <c r="D44" s="72" t="s">
        <v>276</v>
      </c>
      <c r="M44" s="207" t="str">
        <f t="array" aca="1" ref="M44" ca="1">IF($L$10="Break Down","P","")</f>
        <v/>
      </c>
      <c r="N44" s="54" t="s">
        <v>363</v>
      </c>
      <c r="U44" s="206" t="str">
        <f t="array" aca="1" ref="U44" ca="1">IF($L$10="Wait for Maintenance","P","")</f>
        <v/>
      </c>
      <c r="V44" s="54" t="s">
        <v>359</v>
      </c>
      <c r="AT44" s="59"/>
    </row>
    <row r="45" spans="3:54" s="54" customFormat="1" ht="10.15" customHeight="1">
      <c r="C45" s="58"/>
      <c r="AT45" s="59"/>
    </row>
    <row r="46" spans="3:54" s="61" customFormat="1" ht="22.9" customHeight="1">
      <c r="C46" s="62"/>
      <c r="D46" s="70" t="s">
        <v>66</v>
      </c>
      <c r="AT46" s="63"/>
    </row>
    <row r="47" spans="3:54" s="61" customFormat="1" ht="25.5">
      <c r="C47" s="62"/>
      <c r="D47" s="337" t="str">
        <f ca="1">"      "&amp;$L$11</f>
        <v xml:space="preserve">      ตอนนี้สายอยู่บนพรมไม่ได้เดินสายไว้ด้านล่าง</v>
      </c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37"/>
      <c r="P47" s="337"/>
      <c r="Q47" s="337"/>
      <c r="R47" s="337"/>
      <c r="S47" s="337"/>
      <c r="T47" s="337"/>
      <c r="U47" s="337"/>
      <c r="V47" s="337"/>
      <c r="W47" s="337"/>
      <c r="X47" s="337"/>
      <c r="Y47" s="337"/>
      <c r="Z47" s="337"/>
      <c r="AA47" s="337"/>
      <c r="AB47" s="337"/>
      <c r="AC47" s="337"/>
      <c r="AD47" s="337"/>
      <c r="AE47" s="337"/>
      <c r="AF47" s="337"/>
      <c r="AG47" s="337"/>
      <c r="AH47" s="337"/>
      <c r="AI47" s="337"/>
      <c r="AJ47" s="337"/>
      <c r="AK47" s="337"/>
      <c r="AL47" s="337"/>
      <c r="AM47" s="337"/>
      <c r="AN47" s="337"/>
      <c r="AO47" s="337"/>
      <c r="AP47" s="337"/>
      <c r="AQ47" s="337"/>
      <c r="AR47" s="337"/>
      <c r="AS47" s="337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36"/>
      <c r="E49" s="336"/>
      <c r="F49" s="336"/>
      <c r="G49" s="336"/>
      <c r="H49" s="336"/>
      <c r="I49" s="336"/>
      <c r="J49" s="336"/>
      <c r="K49" s="336"/>
      <c r="L49" s="336"/>
      <c r="M49" s="336"/>
      <c r="N49" s="336"/>
      <c r="O49" s="336"/>
      <c r="P49" s="336"/>
      <c r="Q49" s="33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336"/>
      <c r="AC49" s="336"/>
      <c r="AD49" s="336"/>
      <c r="AE49" s="336"/>
      <c r="AF49" s="336"/>
      <c r="AG49" s="336"/>
      <c r="AH49" s="336"/>
      <c r="AI49" s="336"/>
      <c r="AJ49" s="336"/>
      <c r="AK49" s="336"/>
      <c r="AL49" s="336"/>
      <c r="AM49" s="336"/>
      <c r="AN49" s="336"/>
      <c r="AO49" s="336"/>
      <c r="AP49" s="336"/>
      <c r="AQ49" s="336"/>
      <c r="AR49" s="336"/>
      <c r="AS49" s="336"/>
      <c r="AT49" s="59"/>
    </row>
    <row r="50" spans="3:46" s="54" customFormat="1" ht="12" customHeight="1">
      <c r="C50" s="58"/>
      <c r="AT50" s="59"/>
    </row>
    <row r="51" spans="3:46" s="61" customFormat="1" ht="25.15" customHeight="1">
      <c r="C51" s="62"/>
      <c r="D51" s="338"/>
      <c r="E51" s="338"/>
      <c r="F51" s="338"/>
      <c r="G51" s="341"/>
      <c r="H51" s="341"/>
      <c r="I51" s="341"/>
      <c r="J51" s="341"/>
      <c r="K51" s="341"/>
      <c r="L51" s="341"/>
      <c r="M51" s="341"/>
      <c r="N51" s="341"/>
      <c r="O51" s="341"/>
      <c r="P51" s="341"/>
      <c r="Q51" s="341"/>
      <c r="R51" s="339"/>
      <c r="S51" s="339"/>
      <c r="T51" s="339"/>
      <c r="U51" s="339"/>
      <c r="Y51" s="338" t="s">
        <v>83</v>
      </c>
      <c r="Z51" s="338"/>
      <c r="AA51" s="338"/>
      <c r="AB51" s="340" t="str">
        <f ca="1">$L$12</f>
        <v>สำลี ชัยศิรินทร์</v>
      </c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39" t="s">
        <v>85</v>
      </c>
      <c r="AN51" s="339"/>
      <c r="AO51" s="339"/>
      <c r="AP51" s="339"/>
      <c r="AQ51" s="339"/>
      <c r="AR51" s="339"/>
      <c r="AS51" s="339"/>
      <c r="AT51" s="63"/>
    </row>
    <row r="52" spans="3:46" ht="10.15" customHeight="1">
      <c r="C52" s="56"/>
      <c r="AT52" s="57"/>
    </row>
    <row r="53" spans="3:46" ht="25.15" customHeight="1">
      <c r="C53" s="369" t="s">
        <v>26</v>
      </c>
      <c r="D53" s="370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0"/>
      <c r="AH53" s="370"/>
      <c r="AI53" s="370"/>
      <c r="AJ53" s="370"/>
      <c r="AK53" s="370"/>
      <c r="AL53" s="370"/>
      <c r="AM53" s="370"/>
      <c r="AN53" s="370"/>
      <c r="AO53" s="370"/>
      <c r="AP53" s="370"/>
      <c r="AQ53" s="370"/>
      <c r="AR53" s="370"/>
      <c r="AS53" s="370"/>
      <c r="AT53" s="371"/>
    </row>
    <row r="54" spans="3:46" ht="4.9000000000000004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899999999999999" customHeight="1">
      <c r="C55" s="56"/>
      <c r="D55" s="72" t="s">
        <v>62</v>
      </c>
      <c r="AT55" s="57"/>
    </row>
    <row r="56" spans="3:46" ht="4.9000000000000004" customHeight="1">
      <c r="C56" s="56"/>
      <c r="AT56" s="57"/>
    </row>
    <row r="57" spans="3:46" ht="19.899999999999999" customHeight="1">
      <c r="C57" s="56"/>
      <c r="D57" s="208" t="str">
        <f ca="1">IF($L$13="อะไหล่เสื่อมคุณภาพ","P","")</f>
        <v/>
      </c>
      <c r="E57" s="54" t="s">
        <v>277</v>
      </c>
      <c r="R57" s="208" t="str">
        <f t="array" aca="1" ref="R57" ca="1">IF($L$13="ขาดการบำรุงรักษา","P","")</f>
        <v/>
      </c>
      <c r="S57" s="54" t="s">
        <v>279</v>
      </c>
      <c r="AF57" s="208" t="str">
        <f t="array" aca="1" ref="AF57" ca="1">IF($L$13="ไม่ได้ซ่อมบำรุงตามแผน","P","")</f>
        <v/>
      </c>
      <c r="AG57" s="54" t="s">
        <v>273</v>
      </c>
      <c r="AT57" s="57"/>
    </row>
    <row r="58" spans="3:46" ht="4.9000000000000004" customHeight="1">
      <c r="C58" s="56"/>
      <c r="E58" s="54"/>
      <c r="S58" s="54"/>
      <c r="AT58" s="57"/>
    </row>
    <row r="59" spans="3:46" ht="19.899999999999999" customHeight="1">
      <c r="C59" s="56"/>
      <c r="D59" s="208" t="str">
        <f t="array" aca="1" ref="D59" ca="1">IF($L$13="ใช้งานผิดประเภท","P","")</f>
        <v/>
      </c>
      <c r="E59" s="54" t="s">
        <v>278</v>
      </c>
      <c r="R59" s="208" t="str">
        <f t="array" aca="1" ref="R59" ca="1">IF($L$13="อุบัติเหตุ","P","")</f>
        <v/>
      </c>
      <c r="S59" s="54" t="s">
        <v>280</v>
      </c>
      <c r="AF59" s="208" t="str">
        <f t="array" aca="1" ref="AF59" ca="1">IF($L$13="อื่นๆ","P","")</f>
        <v/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5" customHeight="1">
      <c r="C60" s="56"/>
      <c r="E60" s="54"/>
      <c r="R60" s="54"/>
      <c r="AT60" s="57"/>
    </row>
    <row r="61" spans="3:46" ht="25.15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264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000000000000004" customHeight="1">
      <c r="C62" s="56"/>
      <c r="S62" s="54"/>
      <c r="AC62" s="80"/>
      <c r="AT62" s="57"/>
    </row>
    <row r="63" spans="3:46" ht="19.899999999999999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/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000000000000004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899999999999999" customHeight="1">
      <c r="C65" s="56"/>
      <c r="E65" s="54" t="s">
        <v>72</v>
      </c>
      <c r="S65" s="54"/>
      <c r="AC65" s="275" t="s">
        <v>206</v>
      </c>
      <c r="AD65" s="276"/>
      <c r="AE65" s="276"/>
      <c r="AF65" s="276"/>
      <c r="AG65" s="276"/>
      <c r="AH65" s="274" t="s">
        <v>64</v>
      </c>
      <c r="AI65" s="274"/>
      <c r="AJ65" s="258" t="str">
        <f ca="1">IF(AL63="P",L22,"")</f>
        <v/>
      </c>
      <c r="AK65" s="258"/>
      <c r="AL65" s="258"/>
      <c r="AM65" s="258"/>
      <c r="AN65" s="258"/>
      <c r="AO65" s="258"/>
      <c r="AP65" s="258"/>
      <c r="AQ65" s="258"/>
      <c r="AR65" s="258"/>
      <c r="AS65" s="258"/>
      <c r="AT65" s="57"/>
    </row>
    <row r="66" spans="3:46" ht="4.9000000000000004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899999999999999" customHeight="1">
      <c r="C67" s="56"/>
      <c r="E67" s="274" t="s">
        <v>64</v>
      </c>
      <c r="F67" s="274"/>
      <c r="G67" s="387" t="str">
        <f ca="1">IF($D$63="P",$L$16,"")</f>
        <v/>
      </c>
      <c r="H67" s="387"/>
      <c r="I67" s="387"/>
      <c r="J67" s="387"/>
      <c r="K67" s="387"/>
      <c r="L67" s="387"/>
      <c r="M67" s="387"/>
      <c r="N67" s="387"/>
      <c r="O67" s="387"/>
      <c r="P67" s="387"/>
      <c r="Q67" s="387"/>
      <c r="R67" s="387"/>
      <c r="S67" s="387"/>
      <c r="T67" s="387"/>
      <c r="U67" s="387"/>
      <c r="V67" s="387"/>
      <c r="W67" s="387"/>
      <c r="X67" s="387"/>
      <c r="Y67" s="387"/>
      <c r="Z67" s="387"/>
      <c r="AC67" s="80"/>
      <c r="AD67" s="54" t="s">
        <v>75</v>
      </c>
      <c r="AE67" s="258">
        <f ca="1">$L$23</f>
        <v>0</v>
      </c>
      <c r="AF67" s="258"/>
      <c r="AG67" s="258"/>
      <c r="AH67" s="258"/>
      <c r="AI67" s="258"/>
      <c r="AJ67" s="258"/>
      <c r="AK67" s="258"/>
      <c r="AL67" s="258"/>
      <c r="AM67" s="258"/>
      <c r="AN67" s="258"/>
      <c r="AO67" s="258"/>
      <c r="AP67" s="258"/>
      <c r="AQ67" s="258"/>
      <c r="AR67" s="258"/>
      <c r="AS67" s="258"/>
      <c r="AT67" s="57"/>
    </row>
    <row r="68" spans="3:46" ht="4.9000000000000004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899999999999999" customHeight="1">
      <c r="C69" s="56"/>
      <c r="D69" s="208" t="str">
        <f t="array" aca="1" ref="D69" ca="1">IF($L$19="ไม่มีจุดเสี่ยงต่อการปนเปื้อน","P","")</f>
        <v/>
      </c>
      <c r="E69" s="54" t="s">
        <v>35</v>
      </c>
      <c r="AC69" s="80"/>
      <c r="AD69" s="54" t="s">
        <v>76</v>
      </c>
      <c r="AE69" s="257"/>
      <c r="AF69" s="257"/>
      <c r="AG69" s="25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  <c r="AR69" s="257"/>
      <c r="AS69" s="257"/>
      <c r="AT69" s="57"/>
    </row>
    <row r="70" spans="3:46" ht="4.9000000000000004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899999999999999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257"/>
      <c r="AF71" s="257"/>
      <c r="AG71" s="25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  <c r="AR71" s="257"/>
      <c r="AS71" s="257"/>
      <c r="AT71" s="57"/>
    </row>
    <row r="72" spans="3:46" ht="4.9000000000000004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899999999999999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257"/>
      <c r="AF73" s="257"/>
      <c r="AG73" s="25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  <c r="AR73" s="257"/>
      <c r="AS73" s="257"/>
      <c r="AT73" s="57"/>
    </row>
    <row r="74" spans="3:46" ht="4.9000000000000004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899999999999999" customHeight="1">
      <c r="C75" s="56"/>
      <c r="E75" s="274" t="s">
        <v>64</v>
      </c>
      <c r="F75" s="274"/>
      <c r="G75" s="368" t="str">
        <f ca="1">IF($D$71="P",$L$20,"")</f>
        <v/>
      </c>
      <c r="H75" s="368"/>
      <c r="I75" s="368"/>
      <c r="J75" s="368"/>
      <c r="K75" s="368"/>
      <c r="L75" s="368"/>
      <c r="M75" s="368"/>
      <c r="N75" s="368"/>
      <c r="O75" s="368"/>
      <c r="P75" s="368"/>
      <c r="Q75" s="368"/>
      <c r="R75" s="368"/>
      <c r="S75" s="368"/>
      <c r="T75" s="368"/>
      <c r="U75" s="368"/>
      <c r="V75" s="368"/>
      <c r="W75" s="368"/>
      <c r="X75" s="368"/>
      <c r="Y75" s="368"/>
      <c r="Z75" s="368"/>
      <c r="AA75" s="98"/>
      <c r="AC75" s="80"/>
      <c r="AD75" s="54" t="s">
        <v>79</v>
      </c>
      <c r="AE75" s="257"/>
      <c r="AF75" s="257"/>
      <c r="AG75" s="25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  <c r="AR75" s="257"/>
      <c r="AS75" s="257"/>
      <c r="AT75" s="57"/>
    </row>
    <row r="76" spans="3:46" ht="4.9000000000000004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899999999999999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5.5">
      <c r="C78" s="62"/>
      <c r="D78" s="366" t="str">
        <f ca="1">"      "&amp;$L$14</f>
        <v xml:space="preserve">      0</v>
      </c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67"/>
      <c r="E80" s="367"/>
      <c r="F80" s="367"/>
      <c r="G80" s="367"/>
      <c r="H80" s="367"/>
      <c r="I80" s="367"/>
      <c r="J80" s="367"/>
      <c r="K80" s="367"/>
      <c r="L80" s="367"/>
      <c r="M80" s="367"/>
      <c r="N80" s="367"/>
      <c r="O80" s="367"/>
      <c r="P80" s="367"/>
      <c r="Q80" s="367"/>
      <c r="R80" s="367"/>
      <c r="S80" s="367"/>
      <c r="T80" s="367"/>
      <c r="U80" s="367"/>
      <c r="V80" s="367"/>
      <c r="W80" s="367"/>
      <c r="X80" s="367"/>
      <c r="Y80" s="367"/>
      <c r="Z80" s="367"/>
      <c r="AA80" s="367"/>
      <c r="AB80" s="367"/>
      <c r="AC80" s="367"/>
      <c r="AD80" s="367"/>
      <c r="AE80" s="367"/>
      <c r="AF80" s="367"/>
      <c r="AG80" s="367"/>
      <c r="AH80" s="367"/>
      <c r="AI80" s="367"/>
      <c r="AJ80" s="367"/>
      <c r="AK80" s="367"/>
      <c r="AL80" s="367"/>
      <c r="AM80" s="367"/>
      <c r="AN80" s="367"/>
      <c r="AO80" s="367"/>
      <c r="AP80" s="367"/>
      <c r="AQ80" s="367"/>
      <c r="AR80" s="367"/>
      <c r="AS80" s="367"/>
      <c r="AT80" s="59"/>
    </row>
    <row r="81" spans="3:46" s="54" customFormat="1" ht="15" customHeight="1">
      <c r="C81" s="58"/>
      <c r="AT81" s="59"/>
    </row>
    <row r="82" spans="3:46" s="61" customFormat="1" ht="25.15" customHeight="1">
      <c r="C82" s="62"/>
      <c r="D82" s="338" t="s">
        <v>83</v>
      </c>
      <c r="E82" s="338"/>
      <c r="F82" s="338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39" t="s">
        <v>82</v>
      </c>
      <c r="S82" s="339"/>
      <c r="T82" s="339"/>
      <c r="U82" s="339"/>
      <c r="Y82" s="338" t="s">
        <v>84</v>
      </c>
      <c r="Z82" s="338"/>
      <c r="AA82" s="338"/>
      <c r="AB82" s="365"/>
      <c r="AC82" s="365"/>
      <c r="AD82" s="365"/>
      <c r="AE82" s="365"/>
      <c r="AF82" s="365"/>
      <c r="AG82" s="365"/>
      <c r="AH82" s="365"/>
      <c r="AI82" s="365"/>
      <c r="AJ82" s="365"/>
      <c r="AK82" s="365"/>
      <c r="AL82" s="365"/>
      <c r="AM82" s="339" t="s">
        <v>81</v>
      </c>
      <c r="AN82" s="339"/>
      <c r="AO82" s="339"/>
      <c r="AP82" s="339"/>
      <c r="AQ82" s="339"/>
      <c r="AR82" s="339"/>
      <c r="AS82" s="339"/>
      <c r="AT82" s="63"/>
    </row>
    <row r="83" spans="3:46" s="54" customFormat="1" ht="10.15" customHeight="1">
      <c r="C83" s="58"/>
      <c r="AT83" s="59"/>
    </row>
    <row r="84" spans="3:46" s="54" customFormat="1" ht="25.15" customHeight="1">
      <c r="C84" s="58"/>
      <c r="D84" s="384" t="s">
        <v>260</v>
      </c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5"/>
      <c r="V84" s="385"/>
      <c r="W84" s="385"/>
      <c r="X84" s="385"/>
      <c r="Y84" s="385"/>
      <c r="Z84" s="385"/>
      <c r="AA84" s="385"/>
      <c r="AB84" s="385"/>
      <c r="AC84" s="385"/>
      <c r="AD84" s="385"/>
      <c r="AE84" s="385"/>
      <c r="AF84" s="385"/>
      <c r="AG84" s="385"/>
      <c r="AH84" s="385"/>
      <c r="AI84" s="385"/>
      <c r="AJ84" s="385"/>
      <c r="AK84" s="385"/>
      <c r="AL84" s="385"/>
      <c r="AM84" s="385"/>
      <c r="AN84" s="385"/>
      <c r="AO84" s="385"/>
      <c r="AP84" s="385"/>
      <c r="AQ84" s="385"/>
      <c r="AR84" s="385"/>
      <c r="AS84" s="386"/>
      <c r="AT84" s="59"/>
    </row>
    <row r="85" spans="3:46" s="60" customFormat="1" ht="18" customHeight="1">
      <c r="C85" s="86"/>
      <c r="D85" s="271" t="s">
        <v>49</v>
      </c>
      <c r="E85" s="272"/>
      <c r="F85" s="271" t="s">
        <v>259</v>
      </c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3"/>
      <c r="AD85" s="271" t="s">
        <v>46</v>
      </c>
      <c r="AE85" s="272"/>
      <c r="AF85" s="272"/>
      <c r="AG85" s="273"/>
      <c r="AH85" s="271" t="s">
        <v>7</v>
      </c>
      <c r="AI85" s="272"/>
      <c r="AJ85" s="272"/>
      <c r="AK85" s="272"/>
      <c r="AL85" s="272"/>
      <c r="AM85" s="272"/>
      <c r="AN85" s="272"/>
      <c r="AO85" s="272"/>
      <c r="AP85" s="272"/>
      <c r="AQ85" s="272"/>
      <c r="AR85" s="272"/>
      <c r="AS85" s="273"/>
      <c r="AT85" s="87"/>
    </row>
    <row r="86" spans="3:46" s="54" customFormat="1" ht="18" customHeight="1">
      <c r="C86" s="58"/>
      <c r="D86" s="294" t="s">
        <v>50</v>
      </c>
      <c r="E86" s="295"/>
      <c r="F86" s="294" t="s">
        <v>258</v>
      </c>
      <c r="G86" s="295"/>
      <c r="H86" s="295"/>
      <c r="I86" s="295"/>
      <c r="J86" s="295"/>
      <c r="K86" s="295"/>
      <c r="L86" s="295"/>
      <c r="M86" s="295"/>
      <c r="N86" s="295"/>
      <c r="O86" s="295"/>
      <c r="P86" s="295"/>
      <c r="Q86" s="295"/>
      <c r="R86" s="295"/>
      <c r="S86" s="295"/>
      <c r="T86" s="295"/>
      <c r="U86" s="295"/>
      <c r="V86" s="295"/>
      <c r="W86" s="295"/>
      <c r="X86" s="295"/>
      <c r="Y86" s="295"/>
      <c r="Z86" s="295"/>
      <c r="AA86" s="295"/>
      <c r="AB86" s="295"/>
      <c r="AC86" s="296"/>
      <c r="AD86" s="294" t="s">
        <v>47</v>
      </c>
      <c r="AE86" s="295"/>
      <c r="AF86" s="295"/>
      <c r="AG86" s="296"/>
      <c r="AH86" s="294" t="s">
        <v>48</v>
      </c>
      <c r="AI86" s="295"/>
      <c r="AJ86" s="295"/>
      <c r="AK86" s="295"/>
      <c r="AL86" s="295"/>
      <c r="AM86" s="295"/>
      <c r="AN86" s="295"/>
      <c r="AO86" s="295"/>
      <c r="AP86" s="295"/>
      <c r="AQ86" s="295"/>
      <c r="AR86" s="295"/>
      <c r="AS86" s="296"/>
      <c r="AT86" s="59"/>
    </row>
    <row r="87" spans="3:46" s="61" customFormat="1" ht="24" customHeight="1">
      <c r="C87" s="62"/>
      <c r="D87" s="320" t="str">
        <f ca="1">IF(F87="-","",IF(F87=0,"",1))</f>
        <v/>
      </c>
      <c r="E87" s="321"/>
      <c r="F87" s="322">
        <f ca="1">$L$17</f>
        <v>0</v>
      </c>
      <c r="G87" s="323"/>
      <c r="H87" s="323"/>
      <c r="I87" s="323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4"/>
      <c r="AD87" s="320">
        <f ca="1">$L$18</f>
        <v>0</v>
      </c>
      <c r="AE87" s="364"/>
      <c r="AF87" s="364"/>
      <c r="AG87" s="321"/>
      <c r="AH87" s="322"/>
      <c r="AI87" s="323"/>
      <c r="AJ87" s="323"/>
      <c r="AK87" s="323"/>
      <c r="AL87" s="323"/>
      <c r="AM87" s="323"/>
      <c r="AN87" s="323"/>
      <c r="AO87" s="323"/>
      <c r="AP87" s="323"/>
      <c r="AQ87" s="323"/>
      <c r="AR87" s="323"/>
      <c r="AS87" s="324"/>
      <c r="AT87" s="63"/>
    </row>
    <row r="88" spans="3:46" s="54" customFormat="1" ht="24" customHeight="1">
      <c r="C88" s="58"/>
      <c r="D88" s="277"/>
      <c r="E88" s="279"/>
      <c r="F88" s="277"/>
      <c r="G88" s="278"/>
      <c r="H88" s="278"/>
      <c r="I88" s="278"/>
      <c r="J88" s="278"/>
      <c r="K88" s="278"/>
      <c r="L88" s="278"/>
      <c r="M88" s="278"/>
      <c r="N88" s="278"/>
      <c r="O88" s="278"/>
      <c r="P88" s="278"/>
      <c r="Q88" s="278"/>
      <c r="R88" s="278"/>
      <c r="S88" s="278"/>
      <c r="T88" s="278"/>
      <c r="U88" s="278"/>
      <c r="V88" s="278"/>
      <c r="W88" s="278"/>
      <c r="X88" s="278"/>
      <c r="Y88" s="278"/>
      <c r="Z88" s="278"/>
      <c r="AA88" s="278"/>
      <c r="AB88" s="278"/>
      <c r="AC88" s="279"/>
      <c r="AD88" s="277"/>
      <c r="AE88" s="278"/>
      <c r="AF88" s="278"/>
      <c r="AG88" s="279"/>
      <c r="AH88" s="268"/>
      <c r="AI88" s="269"/>
      <c r="AJ88" s="269"/>
      <c r="AK88" s="269"/>
      <c r="AL88" s="269"/>
      <c r="AM88" s="269"/>
      <c r="AN88" s="269"/>
      <c r="AO88" s="269"/>
      <c r="AP88" s="269"/>
      <c r="AQ88" s="269"/>
      <c r="AR88" s="269"/>
      <c r="AS88" s="270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277"/>
      <c r="E90" s="279"/>
      <c r="F90" s="277"/>
      <c r="G90" s="278"/>
      <c r="H90" s="278"/>
      <c r="I90" s="278"/>
      <c r="J90" s="278"/>
      <c r="K90" s="278"/>
      <c r="L90" s="278"/>
      <c r="M90" s="278"/>
      <c r="N90" s="278"/>
      <c r="O90" s="278"/>
      <c r="P90" s="278"/>
      <c r="Q90" s="278"/>
      <c r="R90" s="278"/>
      <c r="S90" s="278"/>
      <c r="T90" s="278"/>
      <c r="U90" s="278"/>
      <c r="V90" s="278"/>
      <c r="W90" s="278"/>
      <c r="X90" s="278"/>
      <c r="Y90" s="278"/>
      <c r="Z90" s="278"/>
      <c r="AA90" s="278"/>
      <c r="AB90" s="278"/>
      <c r="AC90" s="279"/>
      <c r="AD90" s="277"/>
      <c r="AE90" s="278"/>
      <c r="AF90" s="278"/>
      <c r="AG90" s="279"/>
      <c r="AH90" s="268"/>
      <c r="AI90" s="269"/>
      <c r="AJ90" s="269"/>
      <c r="AK90" s="269"/>
      <c r="AL90" s="269"/>
      <c r="AM90" s="269"/>
      <c r="AN90" s="269"/>
      <c r="AO90" s="269"/>
      <c r="AP90" s="269"/>
      <c r="AQ90" s="269"/>
      <c r="AR90" s="269"/>
      <c r="AS90" s="270"/>
      <c r="AT90" s="59"/>
    </row>
    <row r="91" spans="3:46" s="54" customFormat="1" ht="24" customHeight="1">
      <c r="C91" s="58"/>
      <c r="D91" s="280"/>
      <c r="E91" s="282"/>
      <c r="F91" s="280"/>
      <c r="G91" s="281"/>
      <c r="H91" s="281"/>
      <c r="I91" s="281"/>
      <c r="J91" s="281"/>
      <c r="K91" s="281"/>
      <c r="L91" s="281"/>
      <c r="M91" s="281"/>
      <c r="N91" s="281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2"/>
      <c r="AD91" s="280"/>
      <c r="AE91" s="281"/>
      <c r="AF91" s="281"/>
      <c r="AG91" s="282"/>
      <c r="AH91" s="265"/>
      <c r="AI91" s="266"/>
      <c r="AJ91" s="266"/>
      <c r="AK91" s="266"/>
      <c r="AL91" s="266"/>
      <c r="AM91" s="266"/>
      <c r="AN91" s="266"/>
      <c r="AO91" s="266"/>
      <c r="AP91" s="266"/>
      <c r="AQ91" s="266"/>
      <c r="AR91" s="266"/>
      <c r="AS91" s="267"/>
      <c r="AT91" s="59"/>
    </row>
    <row r="92" spans="3:46" s="54" customFormat="1" ht="10.15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899999999999999" customHeight="1">
      <c r="C93" s="58"/>
      <c r="D93" s="72" t="s">
        <v>240</v>
      </c>
      <c r="Y93" s="291" t="s">
        <v>54</v>
      </c>
      <c r="Z93" s="292"/>
      <c r="AA93" s="292"/>
      <c r="AB93" s="292"/>
      <c r="AC93" s="292"/>
      <c r="AD93" s="292"/>
      <c r="AE93" s="292"/>
      <c r="AF93" s="292"/>
      <c r="AG93" s="292"/>
      <c r="AH93" s="292"/>
      <c r="AI93" s="292"/>
      <c r="AJ93" s="292"/>
      <c r="AK93" s="292"/>
      <c r="AL93" s="292"/>
      <c r="AM93" s="292"/>
      <c r="AN93" s="292"/>
      <c r="AO93" s="292"/>
      <c r="AP93" s="292"/>
      <c r="AQ93" s="292"/>
      <c r="AR93" s="292"/>
      <c r="AS93" s="293"/>
      <c r="AT93" s="59"/>
    </row>
    <row r="94" spans="3:46" ht="4.9000000000000004" customHeight="1">
      <c r="C94" s="56"/>
      <c r="S94" s="54"/>
      <c r="Y94" s="294"/>
      <c r="Z94" s="295"/>
      <c r="AA94" s="295"/>
      <c r="AB94" s="295"/>
      <c r="AC94" s="295"/>
      <c r="AD94" s="295"/>
      <c r="AE94" s="295"/>
      <c r="AF94" s="295"/>
      <c r="AG94" s="295"/>
      <c r="AH94" s="295"/>
      <c r="AI94" s="295"/>
      <c r="AJ94" s="295"/>
      <c r="AK94" s="295"/>
      <c r="AL94" s="295"/>
      <c r="AM94" s="295"/>
      <c r="AN94" s="295"/>
      <c r="AO94" s="295"/>
      <c r="AP94" s="295"/>
      <c r="AQ94" s="295"/>
      <c r="AR94" s="295"/>
      <c r="AS94" s="296"/>
      <c r="AT94" s="57"/>
    </row>
    <row r="95" spans="3:46" ht="19.899999999999999" customHeight="1">
      <c r="C95" s="56"/>
      <c r="D95" s="111"/>
      <c r="E95" s="54" t="s">
        <v>51</v>
      </c>
      <c r="S95" s="54"/>
      <c r="Y95" s="389" t="s">
        <v>61</v>
      </c>
      <c r="Z95" s="389"/>
      <c r="AA95" s="389"/>
      <c r="AB95" s="389"/>
      <c r="AC95" s="389"/>
      <c r="AD95" s="290" t="s">
        <v>55</v>
      </c>
      <c r="AE95" s="290"/>
      <c r="AF95" s="290"/>
      <c r="AG95" s="290"/>
      <c r="AH95" s="290"/>
      <c r="AI95" s="290"/>
      <c r="AJ95" s="290"/>
      <c r="AK95" s="290"/>
      <c r="AL95" s="271" t="s">
        <v>56</v>
      </c>
      <c r="AM95" s="272"/>
      <c r="AN95" s="272"/>
      <c r="AO95" s="272"/>
      <c r="AP95" s="272"/>
      <c r="AQ95" s="272"/>
      <c r="AR95" s="272"/>
      <c r="AS95" s="273"/>
      <c r="AT95" s="57"/>
    </row>
    <row r="96" spans="3:46" ht="19.899999999999999" customHeight="1">
      <c r="C96" s="56"/>
      <c r="D96" s="88"/>
      <c r="E96" s="54" t="s">
        <v>53</v>
      </c>
      <c r="S96" s="54"/>
      <c r="Y96" s="389"/>
      <c r="Z96" s="389"/>
      <c r="AA96" s="389"/>
      <c r="AB96" s="389"/>
      <c r="AC96" s="389"/>
      <c r="AD96" s="388" t="s">
        <v>58</v>
      </c>
      <c r="AE96" s="388"/>
      <c r="AF96" s="388"/>
      <c r="AG96" s="388"/>
      <c r="AH96" s="388"/>
      <c r="AI96" s="388"/>
      <c r="AJ96" s="388"/>
      <c r="AK96" s="388"/>
      <c r="AL96" s="287" t="s">
        <v>57</v>
      </c>
      <c r="AM96" s="288"/>
      <c r="AN96" s="288"/>
      <c r="AO96" s="288"/>
      <c r="AP96" s="288"/>
      <c r="AQ96" s="288"/>
      <c r="AR96" s="288"/>
      <c r="AS96" s="289"/>
      <c r="AT96" s="57"/>
    </row>
    <row r="97" spans="3:46" ht="19.899999999999999" customHeight="1">
      <c r="C97" s="56"/>
      <c r="D97" s="111"/>
      <c r="E97" s="54" t="s">
        <v>70</v>
      </c>
      <c r="Y97" s="389"/>
      <c r="Z97" s="389"/>
      <c r="AA97" s="389"/>
      <c r="AB97" s="389"/>
      <c r="AC97" s="389"/>
      <c r="AD97" s="283" t="s">
        <v>60</v>
      </c>
      <c r="AE97" s="283"/>
      <c r="AF97" s="283" t="s">
        <v>59</v>
      </c>
      <c r="AG97" s="283"/>
      <c r="AH97" s="283" t="s">
        <v>7</v>
      </c>
      <c r="AI97" s="283"/>
      <c r="AJ97" s="283"/>
      <c r="AK97" s="283"/>
      <c r="AL97" s="283" t="s">
        <v>60</v>
      </c>
      <c r="AM97" s="283"/>
      <c r="AN97" s="283" t="s">
        <v>59</v>
      </c>
      <c r="AO97" s="283"/>
      <c r="AP97" s="284" t="s">
        <v>7</v>
      </c>
      <c r="AQ97" s="285"/>
      <c r="AR97" s="285"/>
      <c r="AS97" s="286"/>
      <c r="AT97" s="57"/>
    </row>
    <row r="98" spans="3:46" ht="4.9000000000000004" customHeight="1">
      <c r="C98" s="56"/>
      <c r="D98" s="96"/>
      <c r="E98" s="54"/>
      <c r="Y98" s="390"/>
      <c r="Z98" s="391"/>
      <c r="AA98" s="391"/>
      <c r="AB98" s="391"/>
      <c r="AC98" s="392"/>
      <c r="AD98" s="298"/>
      <c r="AE98" s="300"/>
      <c r="AF98" s="298"/>
      <c r="AG98" s="300"/>
      <c r="AH98" s="298"/>
      <c r="AI98" s="299"/>
      <c r="AJ98" s="299"/>
      <c r="AK98" s="300"/>
      <c r="AL98" s="298"/>
      <c r="AM98" s="300"/>
      <c r="AN98" s="298"/>
      <c r="AO98" s="300"/>
      <c r="AP98" s="298"/>
      <c r="AQ98" s="299"/>
      <c r="AR98" s="299"/>
      <c r="AS98" s="300"/>
      <c r="AT98" s="57"/>
    </row>
    <row r="99" spans="3:46" ht="19.899999999999999" customHeight="1">
      <c r="C99" s="56"/>
      <c r="D99" s="111"/>
      <c r="E99" s="54" t="s">
        <v>71</v>
      </c>
      <c r="Y99" s="393"/>
      <c r="Z99" s="394"/>
      <c r="AA99" s="394"/>
      <c r="AB99" s="394"/>
      <c r="AC99" s="395"/>
      <c r="AD99" s="301"/>
      <c r="AE99" s="303"/>
      <c r="AF99" s="301"/>
      <c r="AG99" s="303"/>
      <c r="AH99" s="301"/>
      <c r="AI99" s="302"/>
      <c r="AJ99" s="302"/>
      <c r="AK99" s="303"/>
      <c r="AL99" s="301"/>
      <c r="AM99" s="303"/>
      <c r="AN99" s="301"/>
      <c r="AO99" s="303"/>
      <c r="AP99" s="301"/>
      <c r="AQ99" s="302"/>
      <c r="AR99" s="302"/>
      <c r="AS99" s="303"/>
      <c r="AT99" s="57"/>
    </row>
    <row r="100" spans="3:46" ht="19.899999999999999" customHeight="1">
      <c r="C100" s="56"/>
      <c r="D100" s="88"/>
      <c r="E100" s="274" t="s">
        <v>64</v>
      </c>
      <c r="F100" s="274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Y100" s="256"/>
      <c r="Z100" s="256"/>
      <c r="AA100" s="256"/>
      <c r="AB100" s="256"/>
      <c r="AC100" s="256"/>
      <c r="AD100" s="256"/>
      <c r="AE100" s="256"/>
      <c r="AF100" s="256"/>
      <c r="AG100" s="256"/>
      <c r="AH100" s="256"/>
      <c r="AI100" s="256"/>
      <c r="AJ100" s="256"/>
      <c r="AK100" s="256"/>
      <c r="AL100" s="256"/>
      <c r="AM100" s="256"/>
      <c r="AN100" s="256"/>
      <c r="AO100" s="256"/>
      <c r="AP100" s="262"/>
      <c r="AQ100" s="263"/>
      <c r="AR100" s="263"/>
      <c r="AS100" s="264"/>
      <c r="AT100" s="57"/>
    </row>
    <row r="101" spans="3:46" ht="19.899999999999999" customHeight="1">
      <c r="C101" s="56"/>
      <c r="D101" s="112"/>
      <c r="E101" s="54" t="s">
        <v>52</v>
      </c>
      <c r="Y101" s="256"/>
      <c r="Z101" s="256"/>
      <c r="AA101" s="256"/>
      <c r="AB101" s="256"/>
      <c r="AC101" s="256"/>
      <c r="AD101" s="256"/>
      <c r="AE101" s="256"/>
      <c r="AF101" s="256"/>
      <c r="AG101" s="256"/>
      <c r="AH101" s="256"/>
      <c r="AI101" s="256"/>
      <c r="AJ101" s="256"/>
      <c r="AK101" s="256"/>
      <c r="AL101" s="256"/>
      <c r="AM101" s="256"/>
      <c r="AN101" s="256"/>
      <c r="AO101" s="256"/>
      <c r="AP101" s="262"/>
      <c r="AQ101" s="263"/>
      <c r="AR101" s="263"/>
      <c r="AS101" s="264"/>
      <c r="AT101" s="57"/>
    </row>
    <row r="102" spans="3:46" ht="19.899999999999999" customHeight="1">
      <c r="C102" s="56"/>
      <c r="E102" s="72" t="s">
        <v>68</v>
      </c>
      <c r="V102" s="73"/>
      <c r="W102" s="73"/>
      <c r="X102" s="73"/>
      <c r="Y102" s="256"/>
      <c r="Z102" s="256"/>
      <c r="AA102" s="256"/>
      <c r="AB102" s="256"/>
      <c r="AC102" s="256"/>
      <c r="AD102" s="256"/>
      <c r="AE102" s="256"/>
      <c r="AF102" s="256"/>
      <c r="AG102" s="256"/>
      <c r="AH102" s="256"/>
      <c r="AI102" s="256"/>
      <c r="AJ102" s="256"/>
      <c r="AK102" s="256"/>
      <c r="AL102" s="256"/>
      <c r="AM102" s="256"/>
      <c r="AN102" s="256"/>
      <c r="AO102" s="256"/>
      <c r="AP102" s="262"/>
      <c r="AQ102" s="263"/>
      <c r="AR102" s="263"/>
      <c r="AS102" s="264"/>
      <c r="AT102" s="57"/>
    </row>
    <row r="103" spans="3:46" s="54" customFormat="1" ht="19.899999999999999" customHeight="1">
      <c r="C103" s="58"/>
      <c r="E103" s="274" t="s">
        <v>64</v>
      </c>
      <c r="F103" s="274"/>
      <c r="G103" s="257"/>
      <c r="H103" s="257"/>
      <c r="I103" s="257"/>
      <c r="J103" s="257"/>
      <c r="K103" s="257"/>
      <c r="L103" s="257"/>
      <c r="M103" s="257"/>
      <c r="N103" s="257"/>
      <c r="O103" s="257"/>
      <c r="P103" s="257"/>
      <c r="Q103" s="257"/>
      <c r="R103" s="257"/>
      <c r="S103" s="257"/>
      <c r="T103" s="257"/>
      <c r="U103" s="257"/>
      <c r="V103" s="257"/>
      <c r="W103" s="257"/>
      <c r="Y103" s="297"/>
      <c r="Z103" s="297"/>
      <c r="AA103" s="297"/>
      <c r="AB103" s="297"/>
      <c r="AC103" s="297"/>
      <c r="AD103" s="297"/>
      <c r="AE103" s="297"/>
      <c r="AF103" s="297"/>
      <c r="AG103" s="297"/>
      <c r="AH103" s="297"/>
      <c r="AI103" s="297"/>
      <c r="AJ103" s="297"/>
      <c r="AK103" s="297"/>
      <c r="AL103" s="297"/>
      <c r="AM103" s="297"/>
      <c r="AN103" s="297"/>
      <c r="AO103" s="297"/>
      <c r="AP103" s="259"/>
      <c r="AQ103" s="260"/>
      <c r="AR103" s="260"/>
      <c r="AS103" s="261"/>
      <c r="AT103" s="59"/>
    </row>
    <row r="104" spans="3:46" s="54" customFormat="1" ht="10.15" customHeight="1">
      <c r="C104" s="58"/>
      <c r="AS104" s="95"/>
      <c r="AT104" s="59"/>
    </row>
    <row r="105" spans="3:46" s="54" customFormat="1" ht="25.15" customHeight="1">
      <c r="C105" s="58"/>
      <c r="D105" s="284" t="s">
        <v>94</v>
      </c>
      <c r="E105" s="285"/>
      <c r="F105" s="285"/>
      <c r="G105" s="285"/>
      <c r="H105" s="285"/>
      <c r="I105" s="285"/>
      <c r="J105" s="285"/>
      <c r="K105" s="285"/>
      <c r="L105" s="285"/>
      <c r="M105" s="285"/>
      <c r="N105" s="285"/>
      <c r="O105" s="285"/>
      <c r="P105" s="285"/>
      <c r="Q105" s="285"/>
      <c r="R105" s="285"/>
      <c r="S105" s="286"/>
      <c r="T105" s="284" t="s">
        <v>37</v>
      </c>
      <c r="U105" s="285"/>
      <c r="V105" s="285"/>
      <c r="W105" s="285"/>
      <c r="X105" s="285"/>
      <c r="Y105" s="285"/>
      <c r="Z105" s="285"/>
      <c r="AA105" s="285"/>
      <c r="AB105" s="285"/>
      <c r="AC105" s="285"/>
      <c r="AD105" s="285"/>
      <c r="AE105" s="285"/>
      <c r="AF105" s="285"/>
      <c r="AG105" s="285"/>
      <c r="AH105" s="285"/>
      <c r="AI105" s="286"/>
      <c r="AJ105" s="284" t="s">
        <v>96</v>
      </c>
      <c r="AK105" s="285"/>
      <c r="AL105" s="285"/>
      <c r="AM105" s="285"/>
      <c r="AN105" s="285"/>
      <c r="AO105" s="285"/>
      <c r="AP105" s="285"/>
      <c r="AQ105" s="285"/>
      <c r="AR105" s="285"/>
      <c r="AS105" s="286"/>
      <c r="AT105" s="59"/>
    </row>
    <row r="106" spans="3:46" s="54" customFormat="1" ht="4.9000000000000004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15" customHeight="1" thickTop="1" thickBot="1">
      <c r="C107" s="58"/>
      <c r="D107" s="275" t="s">
        <v>86</v>
      </c>
      <c r="E107" s="276"/>
      <c r="F107" s="276"/>
      <c r="G107" s="276"/>
      <c r="H107" s="318">
        <f ca="1">$L$24</f>
        <v>0</v>
      </c>
      <c r="I107" s="319"/>
      <c r="J107" s="319"/>
      <c r="K107" s="319"/>
      <c r="L107" s="276" t="s">
        <v>88</v>
      </c>
      <c r="M107" s="276"/>
      <c r="N107" s="325">
        <f ca="1">$L$25</f>
        <v>0</v>
      </c>
      <c r="O107" s="319"/>
      <c r="P107" s="319"/>
      <c r="Q107" s="319"/>
      <c r="R107" s="319"/>
      <c r="T107" s="80"/>
      <c r="U107" s="54" t="s">
        <v>38</v>
      </c>
      <c r="AI107" s="81"/>
      <c r="AJ107" s="80"/>
      <c r="AM107" s="84" t="s">
        <v>41</v>
      </c>
      <c r="AN107" s="328" t="s">
        <v>43</v>
      </c>
      <c r="AO107" s="313">
        <v>100</v>
      </c>
      <c r="AP107" s="313"/>
      <c r="AS107" s="81"/>
      <c r="AT107" s="59"/>
    </row>
    <row r="108" spans="3:46" s="54" customFormat="1" ht="22.15" customHeight="1" thickTop="1" thickBot="1">
      <c r="C108" s="58"/>
      <c r="D108" s="275" t="s">
        <v>87</v>
      </c>
      <c r="E108" s="276"/>
      <c r="F108" s="276"/>
      <c r="G108" s="276"/>
      <c r="H108" s="318">
        <f ca="1">$L$26</f>
        <v>0</v>
      </c>
      <c r="I108" s="319"/>
      <c r="J108" s="319"/>
      <c r="K108" s="319"/>
      <c r="L108" s="276" t="s">
        <v>88</v>
      </c>
      <c r="M108" s="276"/>
      <c r="N108" s="326">
        <f ca="1">$L$27</f>
        <v>0</v>
      </c>
      <c r="O108" s="327"/>
      <c r="P108" s="327"/>
      <c r="Q108" s="319"/>
      <c r="R108" s="319"/>
      <c r="T108" s="80"/>
      <c r="U108" s="54" t="s">
        <v>39</v>
      </c>
      <c r="AI108" s="81"/>
      <c r="AJ108" s="80"/>
      <c r="AM108" s="71" t="s">
        <v>42</v>
      </c>
      <c r="AN108" s="328"/>
      <c r="AO108" s="313"/>
      <c r="AP108" s="313"/>
      <c r="AS108" s="81"/>
      <c r="AT108" s="59"/>
    </row>
    <row r="109" spans="3:46" s="54" customFormat="1" ht="22.15" customHeight="1" thickTop="1" thickBot="1">
      <c r="C109" s="58"/>
      <c r="D109" s="275" t="s">
        <v>89</v>
      </c>
      <c r="E109" s="276"/>
      <c r="F109" s="276"/>
      <c r="G109" s="276"/>
      <c r="H109" s="276"/>
      <c r="I109" s="276"/>
      <c r="J109" s="276"/>
      <c r="K109" s="319">
        <f ca="1">ConvertMinute</f>
        <v>0</v>
      </c>
      <c r="L109" s="319"/>
      <c r="M109" s="319"/>
      <c r="N109" s="319"/>
      <c r="O109" s="319"/>
      <c r="P109" s="319"/>
      <c r="Q109" s="313" t="s">
        <v>95</v>
      </c>
      <c r="R109" s="313"/>
      <c r="S109" s="314"/>
      <c r="T109" s="80"/>
      <c r="U109" s="54" t="s">
        <v>40</v>
      </c>
      <c r="AI109" s="81"/>
      <c r="AJ109" s="80"/>
      <c r="AL109" s="85" t="s">
        <v>44</v>
      </c>
      <c r="AM109" s="317" t="str">
        <f ca="1">IF(K109=0,"",K109/1440)</f>
        <v/>
      </c>
      <c r="AN109" s="317"/>
      <c r="AO109" s="317"/>
      <c r="AP109" s="317"/>
      <c r="AQ109" s="71" t="s">
        <v>45</v>
      </c>
      <c r="AS109" s="81"/>
      <c r="AT109" s="59"/>
    </row>
    <row r="110" spans="3:46" s="54" customFormat="1" ht="4.9000000000000004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000000000000004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04" t="s">
        <v>97</v>
      </c>
      <c r="U111" s="305"/>
      <c r="V111" s="305"/>
      <c r="W111" s="305"/>
      <c r="X111" s="305"/>
      <c r="Y111" s="305"/>
      <c r="Z111" s="305"/>
      <c r="AA111" s="305"/>
      <c r="AB111" s="305"/>
      <c r="AC111" s="305"/>
      <c r="AD111" s="305"/>
      <c r="AE111" s="305"/>
      <c r="AF111" s="305"/>
      <c r="AG111" s="305"/>
      <c r="AH111" s="305"/>
      <c r="AI111" s="305"/>
      <c r="AJ111" s="305"/>
      <c r="AK111" s="305"/>
      <c r="AL111" s="305"/>
      <c r="AM111" s="305"/>
      <c r="AN111" s="305"/>
      <c r="AO111" s="305"/>
      <c r="AP111" s="305"/>
      <c r="AQ111" s="305"/>
      <c r="AR111" s="305"/>
      <c r="AS111" s="306"/>
      <c r="AT111" s="59"/>
    </row>
    <row r="112" spans="3:46" s="54" customFormat="1" ht="25.15" customHeight="1" thickTop="1" thickBot="1">
      <c r="C112" s="58"/>
      <c r="D112" s="275" t="s">
        <v>90</v>
      </c>
      <c r="E112" s="276"/>
      <c r="F112" s="276"/>
      <c r="G112" s="315"/>
      <c r="H112" s="315"/>
      <c r="I112" s="315"/>
      <c r="J112" s="315"/>
      <c r="K112" s="315"/>
      <c r="L112" s="315"/>
      <c r="M112" s="315"/>
      <c r="N112" s="315"/>
      <c r="O112" s="315"/>
      <c r="P112" s="313" t="s">
        <v>92</v>
      </c>
      <c r="Q112" s="313"/>
      <c r="R112" s="313"/>
      <c r="S112" s="314"/>
      <c r="T112" s="307"/>
      <c r="U112" s="308"/>
      <c r="V112" s="308"/>
      <c r="W112" s="308"/>
      <c r="X112" s="308"/>
      <c r="Y112" s="308"/>
      <c r="Z112" s="308"/>
      <c r="AA112" s="308"/>
      <c r="AB112" s="308"/>
      <c r="AC112" s="308"/>
      <c r="AD112" s="308"/>
      <c r="AE112" s="308"/>
      <c r="AF112" s="308"/>
      <c r="AG112" s="308"/>
      <c r="AH112" s="308"/>
      <c r="AI112" s="308"/>
      <c r="AJ112" s="308"/>
      <c r="AK112" s="308"/>
      <c r="AL112" s="308"/>
      <c r="AM112" s="308"/>
      <c r="AN112" s="308"/>
      <c r="AO112" s="308"/>
      <c r="AP112" s="308"/>
      <c r="AQ112" s="308"/>
      <c r="AR112" s="308"/>
      <c r="AS112" s="309"/>
      <c r="AT112" s="59"/>
    </row>
    <row r="113" spans="3:46" s="54" customFormat="1" ht="25.15" customHeight="1" thickTop="1" thickBot="1">
      <c r="C113" s="58"/>
      <c r="D113" s="275" t="s">
        <v>91</v>
      </c>
      <c r="E113" s="276"/>
      <c r="F113" s="276"/>
      <c r="G113" s="316"/>
      <c r="H113" s="315"/>
      <c r="I113" s="315"/>
      <c r="J113" s="315"/>
      <c r="K113" s="315"/>
      <c r="L113" s="315"/>
      <c r="M113" s="315"/>
      <c r="N113" s="315"/>
      <c r="O113" s="315"/>
      <c r="T113" s="307"/>
      <c r="U113" s="308"/>
      <c r="V113" s="308"/>
      <c r="W113" s="308"/>
      <c r="X113" s="308"/>
      <c r="Y113" s="308"/>
      <c r="Z113" s="308"/>
      <c r="AA113" s="308"/>
      <c r="AB113" s="308"/>
      <c r="AC113" s="308"/>
      <c r="AD113" s="308"/>
      <c r="AE113" s="308"/>
      <c r="AF113" s="308"/>
      <c r="AG113" s="308"/>
      <c r="AH113" s="308"/>
      <c r="AI113" s="308"/>
      <c r="AJ113" s="308"/>
      <c r="AK113" s="308"/>
      <c r="AL113" s="308"/>
      <c r="AM113" s="308"/>
      <c r="AN113" s="308"/>
      <c r="AO113" s="308"/>
      <c r="AP113" s="308"/>
      <c r="AQ113" s="308"/>
      <c r="AR113" s="308"/>
      <c r="AS113" s="309"/>
      <c r="AT113" s="59"/>
    </row>
    <row r="114" spans="3:46" s="54" customFormat="1" ht="4.9000000000000004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10"/>
      <c r="U114" s="311"/>
      <c r="V114" s="311"/>
      <c r="W114" s="311"/>
      <c r="X114" s="311"/>
      <c r="Y114" s="311"/>
      <c r="Z114" s="311"/>
      <c r="AA114" s="311"/>
      <c r="AB114" s="311"/>
      <c r="AC114" s="311"/>
      <c r="AD114" s="311"/>
      <c r="AE114" s="311"/>
      <c r="AF114" s="311"/>
      <c r="AG114" s="311"/>
      <c r="AH114" s="311"/>
      <c r="AI114" s="311"/>
      <c r="AJ114" s="311"/>
      <c r="AK114" s="311"/>
      <c r="AL114" s="311"/>
      <c r="AM114" s="311"/>
      <c r="AN114" s="311"/>
      <c r="AO114" s="311"/>
      <c r="AP114" s="311"/>
      <c r="AQ114" s="311"/>
      <c r="AR114" s="311"/>
      <c r="AS114" s="312"/>
      <c r="AT114" s="59"/>
    </row>
    <row r="115" spans="3:46" s="54" customFormat="1" ht="7.9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000000000000004" customHeight="1"/>
    <row r="118" spans="3:46" ht="19.899999999999999" customHeight="1">
      <c r="D118" s="104" t="s">
        <v>129</v>
      </c>
      <c r="E118" s="105"/>
      <c r="F118" s="105"/>
      <c r="G118" s="105"/>
      <c r="H118" s="105"/>
      <c r="I118" s="105"/>
    </row>
    <row r="119" spans="3:46" ht="19.899999999999999" customHeight="1">
      <c r="D119" s="106" t="s">
        <v>130</v>
      </c>
      <c r="E119" s="105"/>
      <c r="F119" s="105"/>
      <c r="G119" s="105"/>
      <c r="H119" s="105"/>
      <c r="I119" s="107">
        <f ca="1">N108-N107</f>
        <v>0</v>
      </c>
    </row>
    <row r="120" spans="3:46" ht="19.899999999999999" customHeight="1">
      <c r="D120" s="108" t="s">
        <v>132</v>
      </c>
      <c r="E120" s="105"/>
      <c r="F120" s="105"/>
      <c r="G120" s="105"/>
      <c r="H120" s="105"/>
      <c r="I120" s="109">
        <f ca="1">HOUR(I119)</f>
        <v>0</v>
      </c>
    </row>
    <row r="121" spans="3:46" ht="19.899999999999999" customHeight="1">
      <c r="D121" s="108" t="s">
        <v>133</v>
      </c>
      <c r="E121" s="105"/>
      <c r="F121" s="105"/>
      <c r="G121" s="105"/>
      <c r="H121" s="105"/>
      <c r="I121" s="109">
        <f ca="1">MINUTE(I119)</f>
        <v>0</v>
      </c>
    </row>
    <row r="122" spans="3:46" ht="19.899999999999999" customHeight="1">
      <c r="D122" s="108" t="s">
        <v>131</v>
      </c>
      <c r="E122" s="105"/>
      <c r="F122" s="105"/>
      <c r="G122" s="105"/>
      <c r="H122" s="105"/>
      <c r="I122" s="110">
        <f ca="1">(I120*60)+I121</f>
        <v>0</v>
      </c>
    </row>
  </sheetData>
  <customSheetViews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</customSheetViews>
  <mergeCells count="141"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2578125" defaultRowHeight="20.25"/>
  <cols>
    <col min="1" max="1" width="1.42578125" style="156" customWidth="1"/>
    <col min="2" max="2" width="0.42578125" style="156" customWidth="1"/>
    <col min="3" max="3" width="13.42578125" style="156" customWidth="1"/>
    <col min="4" max="4" width="32.42578125" style="156" customWidth="1"/>
    <col min="5" max="9" width="23.42578125" style="156" customWidth="1"/>
    <col min="10" max="10" width="22.42578125" style="156" customWidth="1"/>
    <col min="11" max="11" width="28.42578125" style="156" customWidth="1"/>
    <col min="12" max="12" width="0.42578125" style="156" customWidth="1"/>
    <col min="13" max="16384" width="9.42578125" style="156"/>
  </cols>
  <sheetData>
    <row r="1" spans="3:11" ht="10.15" customHeight="1">
      <c r="D1" s="156" t="s">
        <v>293</v>
      </c>
    </row>
    <row r="2" spans="3:11" ht="4.9000000000000004" customHeight="1"/>
    <row r="3" spans="3:11">
      <c r="C3" s="157"/>
      <c r="D3" s="158"/>
      <c r="E3" s="396" t="s">
        <v>294</v>
      </c>
      <c r="F3" s="397"/>
      <c r="G3" s="397"/>
      <c r="H3" s="397"/>
      <c r="I3" s="398"/>
      <c r="J3" s="159" t="s">
        <v>295</v>
      </c>
      <c r="K3" s="160" t="s">
        <v>296</v>
      </c>
    </row>
    <row r="4" spans="3:11">
      <c r="C4" s="161"/>
      <c r="D4" s="162"/>
      <c r="E4" s="399"/>
      <c r="F4" s="400"/>
      <c r="G4" s="400"/>
      <c r="H4" s="400"/>
      <c r="I4" s="401"/>
      <c r="J4" s="163" t="s">
        <v>297</v>
      </c>
      <c r="K4" s="164" t="s">
        <v>298</v>
      </c>
    </row>
    <row r="5" spans="3:11" ht="4.9000000000000004" customHeight="1"/>
    <row r="6" spans="3:11" s="168" customFormat="1" ht="19.899999999999999" customHeight="1">
      <c r="C6" s="402" t="s">
        <v>299</v>
      </c>
      <c r="D6" s="403"/>
      <c r="E6" s="165" t="s">
        <v>300</v>
      </c>
      <c r="F6" s="166" t="s">
        <v>301</v>
      </c>
      <c r="G6" s="166" t="s">
        <v>302</v>
      </c>
      <c r="H6" s="166" t="s">
        <v>303</v>
      </c>
      <c r="I6" s="167" t="s">
        <v>304</v>
      </c>
      <c r="J6" s="166" t="s">
        <v>305</v>
      </c>
      <c r="K6" s="165" t="s">
        <v>7</v>
      </c>
    </row>
    <row r="7" spans="3:11" s="172" customFormat="1" ht="19.899999999999999" customHeight="1">
      <c r="C7" s="404" t="s">
        <v>306</v>
      </c>
      <c r="D7" s="405"/>
      <c r="E7" s="169" t="s">
        <v>307</v>
      </c>
      <c r="F7" s="170" t="s">
        <v>308</v>
      </c>
      <c r="G7" s="170" t="s">
        <v>309</v>
      </c>
      <c r="H7" s="170" t="s">
        <v>310</v>
      </c>
      <c r="I7" s="171" t="s">
        <v>311</v>
      </c>
      <c r="J7" s="170" t="s">
        <v>312</v>
      </c>
      <c r="K7" s="169" t="s">
        <v>48</v>
      </c>
    </row>
    <row r="8" spans="3:11">
      <c r="C8" s="173" t="s">
        <v>313</v>
      </c>
      <c r="D8" s="174"/>
      <c r="E8" s="175" t="s">
        <v>314</v>
      </c>
      <c r="F8" s="176"/>
      <c r="G8" s="176"/>
      <c r="H8" s="176"/>
      <c r="I8" s="177"/>
      <c r="J8" s="178" t="s">
        <v>315</v>
      </c>
      <c r="K8" s="179" t="s">
        <v>316</v>
      </c>
    </row>
    <row r="9" spans="3:11">
      <c r="C9" s="180" t="s">
        <v>317</v>
      </c>
      <c r="D9" s="181"/>
      <c r="F9" s="182"/>
      <c r="G9" s="182"/>
      <c r="H9" s="182"/>
      <c r="J9" s="178"/>
      <c r="K9" s="181" t="s">
        <v>318</v>
      </c>
    </row>
    <row r="10" spans="3:11">
      <c r="C10" s="183" t="s">
        <v>319</v>
      </c>
      <c r="D10" s="184"/>
      <c r="F10" s="182"/>
      <c r="G10" s="182"/>
      <c r="H10" s="182"/>
      <c r="J10" s="178"/>
      <c r="K10" s="181"/>
    </row>
    <row r="11" spans="3:11">
      <c r="C11" s="185" t="s">
        <v>320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321</v>
      </c>
      <c r="D12" s="184"/>
      <c r="F12" s="182"/>
      <c r="G12" s="182"/>
      <c r="H12" s="182"/>
      <c r="J12" s="178" t="s">
        <v>322</v>
      </c>
      <c r="K12" s="181" t="s">
        <v>323</v>
      </c>
    </row>
    <row r="13" spans="3:11">
      <c r="C13" s="191" t="s">
        <v>324</v>
      </c>
      <c r="D13" s="184"/>
      <c r="F13" s="182"/>
      <c r="G13" s="182"/>
      <c r="H13" s="182"/>
      <c r="J13" s="178" t="s">
        <v>325</v>
      </c>
      <c r="K13" s="181" t="s">
        <v>326</v>
      </c>
    </row>
    <row r="14" spans="3:11">
      <c r="C14" s="180" t="s">
        <v>327</v>
      </c>
      <c r="D14" s="192"/>
      <c r="F14" s="182"/>
      <c r="G14" s="182"/>
      <c r="H14" s="182"/>
      <c r="J14" s="178" t="s">
        <v>315</v>
      </c>
      <c r="K14" s="181" t="s">
        <v>328</v>
      </c>
    </row>
    <row r="15" spans="3:11">
      <c r="C15" s="183" t="s">
        <v>329</v>
      </c>
      <c r="D15" s="181"/>
      <c r="F15" s="182"/>
      <c r="G15" s="182"/>
      <c r="H15" s="182"/>
      <c r="J15" s="178" t="s">
        <v>330</v>
      </c>
      <c r="K15" s="181" t="s">
        <v>331</v>
      </c>
    </row>
    <row r="16" spans="3:11">
      <c r="C16" s="180" t="s">
        <v>332</v>
      </c>
      <c r="D16" s="181"/>
      <c r="F16" s="182"/>
      <c r="G16" s="182"/>
      <c r="H16" s="182"/>
      <c r="J16" s="178" t="s">
        <v>333</v>
      </c>
      <c r="K16" s="181" t="s">
        <v>334</v>
      </c>
    </row>
    <row r="17" spans="3:11">
      <c r="C17" s="180" t="s">
        <v>335</v>
      </c>
      <c r="D17" s="181"/>
      <c r="F17" s="182"/>
      <c r="G17" s="182"/>
      <c r="H17" s="182"/>
      <c r="J17" s="178"/>
      <c r="K17" s="181" t="s">
        <v>336</v>
      </c>
    </row>
    <row r="18" spans="3:11">
      <c r="C18" s="180" t="s">
        <v>337</v>
      </c>
      <c r="D18" s="181"/>
      <c r="F18" s="182"/>
      <c r="G18" s="182"/>
      <c r="H18" s="182"/>
      <c r="J18" s="178"/>
      <c r="K18" s="181" t="s">
        <v>338</v>
      </c>
    </row>
    <row r="19" spans="3:11">
      <c r="C19" s="180" t="s">
        <v>339</v>
      </c>
      <c r="D19" s="181"/>
      <c r="F19" s="182"/>
      <c r="G19" s="182"/>
      <c r="H19" s="182"/>
      <c r="J19" s="178"/>
      <c r="K19" s="181" t="s">
        <v>340</v>
      </c>
    </row>
    <row r="20" spans="3:11">
      <c r="C20" s="180" t="s">
        <v>341</v>
      </c>
      <c r="D20" s="181"/>
      <c r="F20" s="182"/>
      <c r="G20" s="182"/>
      <c r="H20" s="182"/>
      <c r="J20" s="178"/>
      <c r="K20" s="181" t="s">
        <v>342</v>
      </c>
    </row>
    <row r="21" spans="3:11">
      <c r="C21" s="180" t="s">
        <v>343</v>
      </c>
      <c r="D21" s="181"/>
      <c r="F21" s="182"/>
      <c r="G21" s="182"/>
      <c r="H21" s="182"/>
      <c r="J21" s="178"/>
      <c r="K21" s="181"/>
    </row>
    <row r="22" spans="3:11">
      <c r="C22" s="180" t="s">
        <v>344</v>
      </c>
      <c r="D22" s="181"/>
      <c r="F22" s="182"/>
      <c r="G22" s="182"/>
      <c r="H22" s="182"/>
      <c r="J22" s="178"/>
      <c r="K22" s="181"/>
    </row>
    <row r="23" spans="3:11">
      <c r="C23" s="180" t="s">
        <v>345</v>
      </c>
      <c r="D23" s="181"/>
      <c r="F23" s="182"/>
      <c r="G23" s="182"/>
      <c r="H23" s="182"/>
      <c r="J23" s="178"/>
      <c r="K23" s="181"/>
    </row>
    <row r="24" spans="3:11">
      <c r="C24" s="180" t="s">
        <v>346</v>
      </c>
      <c r="D24" s="181"/>
      <c r="F24" s="182"/>
      <c r="G24" s="182"/>
      <c r="H24" s="182"/>
      <c r="J24" s="178"/>
      <c r="K24" s="181"/>
    </row>
    <row r="25" spans="3:11">
      <c r="C25" s="180" t="s">
        <v>347</v>
      </c>
      <c r="D25" s="181"/>
      <c r="F25" s="182"/>
      <c r="G25" s="182"/>
      <c r="H25" s="182"/>
      <c r="J25" s="178"/>
      <c r="K25" s="181"/>
    </row>
    <row r="26" spans="3:11">
      <c r="C26" s="180" t="s">
        <v>348</v>
      </c>
      <c r="D26" s="181"/>
      <c r="F26" s="182"/>
      <c r="G26" s="182"/>
      <c r="H26" s="182"/>
      <c r="J26" s="178"/>
      <c r="K26" s="181"/>
    </row>
    <row r="27" spans="3:11">
      <c r="C27" s="180" t="s">
        <v>349</v>
      </c>
      <c r="D27" s="181"/>
      <c r="F27" s="182"/>
      <c r="G27" s="182"/>
      <c r="H27" s="182"/>
      <c r="J27" s="178"/>
      <c r="K27" s="181"/>
    </row>
    <row r="28" spans="3:11">
      <c r="C28" s="180" t="s">
        <v>350</v>
      </c>
      <c r="D28" s="181"/>
      <c r="F28" s="182"/>
      <c r="G28" s="182"/>
      <c r="H28" s="182"/>
      <c r="J28" s="178"/>
      <c r="K28" s="181"/>
    </row>
    <row r="29" spans="3:11">
      <c r="C29" s="180" t="s">
        <v>351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352</v>
      </c>
      <c r="K33" s="179"/>
    </row>
    <row r="34" spans="3:11">
      <c r="C34" s="180"/>
      <c r="D34" s="181"/>
      <c r="F34" s="182"/>
      <c r="G34" s="182"/>
      <c r="H34" s="182"/>
      <c r="J34" s="180" t="s">
        <v>353</v>
      </c>
      <c r="K34" s="181"/>
    </row>
    <row r="35" spans="3:11">
      <c r="C35" s="180"/>
      <c r="D35" s="181"/>
      <c r="F35" s="182"/>
      <c r="G35" s="182"/>
      <c r="H35" s="182"/>
      <c r="J35" s="180" t="s">
        <v>354</v>
      </c>
      <c r="K35" s="181"/>
    </row>
    <row r="36" spans="3:11">
      <c r="C36" s="180"/>
      <c r="D36" s="181"/>
      <c r="F36" s="193" t="s">
        <v>355</v>
      </c>
      <c r="G36" s="182"/>
      <c r="H36" s="182"/>
      <c r="J36" s="180" t="s">
        <v>356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357</v>
      </c>
      <c r="K37" s="195"/>
    </row>
    <row r="38" spans="3:11" ht="4.9000000000000004" customHeight="1"/>
    <row r="44" spans="3:11">
      <c r="J44" s="198"/>
    </row>
    <row r="45" spans="3:11">
      <c r="K45" s="198"/>
    </row>
  </sheetData>
  <customSheetViews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6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zoomScale="80" zoomScaleNormal="80" zoomScalePageLayoutView="80" workbookViewId="0">
      <pane ySplit="1" topLeftCell="A2" activePane="bottomLeft" state="frozen"/>
      <selection pane="bottomLeft" activeCell="G16" sqref="G16"/>
    </sheetView>
  </sheetViews>
  <sheetFormatPr defaultColWidth="9.42578125" defaultRowHeight="19.899999999999999" customHeight="1"/>
  <cols>
    <col min="1" max="1" width="20.42578125" style="114" customWidth="1"/>
    <col min="2" max="2" width="15.42578125" style="115" bestFit="1" customWidth="1"/>
    <col min="3" max="3" width="30.42578125" style="114" customWidth="1"/>
    <col min="4" max="4" width="12.42578125" style="114" customWidth="1"/>
    <col min="5" max="5" width="16.42578125" style="114" customWidth="1"/>
    <col min="6" max="6" width="22.42578125" style="114" customWidth="1"/>
    <col min="7" max="7" width="14.42578125" style="114" customWidth="1"/>
    <col min="8" max="8" width="24.42578125" style="141" customWidth="1"/>
    <col min="9" max="9" width="18" style="141" bestFit="1" customWidth="1"/>
    <col min="10" max="10" width="28.42578125" style="141" customWidth="1"/>
    <col min="11" max="11" width="12.42578125" style="141" customWidth="1"/>
    <col min="12" max="12" width="24.42578125" style="142" customWidth="1"/>
    <col min="13" max="13" width="24.42578125" style="143" customWidth="1"/>
    <col min="14" max="16384" width="9.42578125" style="114"/>
  </cols>
  <sheetData>
    <row r="1" spans="1:13" s="113" customFormat="1" ht="19.899999999999999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172</v>
      </c>
      <c r="I1" s="113" t="s">
        <v>236</v>
      </c>
      <c r="J1" s="113" t="s">
        <v>237</v>
      </c>
      <c r="K1" s="113" t="s">
        <v>238</v>
      </c>
      <c r="L1" s="122" t="s">
        <v>128</v>
      </c>
      <c r="M1" s="121" t="s">
        <v>127</v>
      </c>
    </row>
    <row r="2" spans="1:13" ht="19.899999999999999" customHeight="1">
      <c r="A2" s="114" t="s">
        <v>100</v>
      </c>
      <c r="B2" s="124" t="s">
        <v>108</v>
      </c>
      <c r="C2" s="114" t="s">
        <v>179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173</v>
      </c>
      <c r="I2" s="141" t="s">
        <v>289</v>
      </c>
      <c r="J2" s="141" t="s">
        <v>203</v>
      </c>
      <c r="K2" s="141" t="s">
        <v>208</v>
      </c>
      <c r="L2" s="142" t="s">
        <v>232</v>
      </c>
      <c r="M2" s="143" t="s">
        <v>166</v>
      </c>
    </row>
    <row r="3" spans="1:13" ht="19.899999999999999" customHeight="1">
      <c r="A3" s="114" t="s">
        <v>227</v>
      </c>
      <c r="B3" s="124" t="s">
        <v>109</v>
      </c>
      <c r="C3" s="114" t="s">
        <v>180</v>
      </c>
      <c r="D3" s="114" t="s">
        <v>365</v>
      </c>
      <c r="E3" s="114" t="s">
        <v>141</v>
      </c>
      <c r="F3" s="114" t="s">
        <v>144</v>
      </c>
      <c r="G3" s="114" t="s">
        <v>155</v>
      </c>
      <c r="H3" s="141" t="s">
        <v>174</v>
      </c>
      <c r="I3" s="141" t="s">
        <v>204</v>
      </c>
      <c r="J3" s="141" t="s">
        <v>205</v>
      </c>
      <c r="K3" s="141" t="s">
        <v>239</v>
      </c>
      <c r="L3" s="142" t="s">
        <v>163</v>
      </c>
      <c r="M3" s="143" t="s">
        <v>228</v>
      </c>
    </row>
    <row r="4" spans="1:13" ht="19.899999999999999" customHeight="1">
      <c r="A4" s="114" t="s">
        <v>101</v>
      </c>
      <c r="B4" s="124" t="s">
        <v>110</v>
      </c>
      <c r="C4" s="114" t="s">
        <v>181</v>
      </c>
      <c r="D4" s="114" t="s">
        <v>138</v>
      </c>
      <c r="E4" s="114" t="s">
        <v>142</v>
      </c>
      <c r="F4" s="114" t="s">
        <v>289</v>
      </c>
      <c r="G4" s="114" t="s">
        <v>153</v>
      </c>
      <c r="H4" s="141" t="s">
        <v>175</v>
      </c>
      <c r="L4" s="142" t="s">
        <v>164</v>
      </c>
      <c r="M4" s="143" t="s">
        <v>169</v>
      </c>
    </row>
    <row r="5" spans="1:13" ht="19.899999999999999" customHeight="1">
      <c r="A5" s="114" t="s">
        <v>102</v>
      </c>
      <c r="B5" s="124" t="s">
        <v>111</v>
      </c>
      <c r="C5" s="114" t="s">
        <v>182</v>
      </c>
      <c r="D5" s="114" t="s">
        <v>139</v>
      </c>
      <c r="E5" s="114" t="s">
        <v>378</v>
      </c>
      <c r="G5" s="114" t="s">
        <v>154</v>
      </c>
      <c r="H5" s="141" t="s">
        <v>176</v>
      </c>
      <c r="L5" s="142" t="s">
        <v>80</v>
      </c>
      <c r="M5" s="143" t="s">
        <v>159</v>
      </c>
    </row>
    <row r="6" spans="1:13" ht="19.899999999999999" customHeight="1">
      <c r="A6" s="114" t="s">
        <v>103</v>
      </c>
      <c r="B6" s="124" t="s">
        <v>112</v>
      </c>
      <c r="C6" s="114" t="s">
        <v>183</v>
      </c>
      <c r="H6" s="141" t="s">
        <v>177</v>
      </c>
      <c r="L6" s="142" t="s">
        <v>808</v>
      </c>
      <c r="M6" s="143" t="s">
        <v>160</v>
      </c>
    </row>
    <row r="7" spans="1:13" ht="19.899999999999999" customHeight="1">
      <c r="A7" s="114" t="s">
        <v>123</v>
      </c>
      <c r="B7" s="124" t="s">
        <v>115</v>
      </c>
      <c r="C7" s="114" t="s">
        <v>184</v>
      </c>
      <c r="H7" s="141" t="s">
        <v>178</v>
      </c>
      <c r="M7" s="143" t="s">
        <v>168</v>
      </c>
    </row>
    <row r="8" spans="1:13" ht="19.899999999999999" customHeight="1">
      <c r="A8" s="114" t="s">
        <v>229</v>
      </c>
      <c r="B8" s="124" t="s">
        <v>18</v>
      </c>
      <c r="C8" s="114" t="s">
        <v>185</v>
      </c>
      <c r="M8" s="143" t="s">
        <v>161</v>
      </c>
    </row>
    <row r="9" spans="1:13" ht="19.899999999999999" customHeight="1">
      <c r="A9" s="114" t="s">
        <v>230</v>
      </c>
      <c r="B9" s="124" t="s">
        <v>116</v>
      </c>
      <c r="C9" s="114" t="s">
        <v>186</v>
      </c>
      <c r="M9" s="143" t="s">
        <v>165</v>
      </c>
    </row>
    <row r="10" spans="1:13" ht="19.899999999999999" customHeight="1">
      <c r="A10" s="114" t="s">
        <v>124</v>
      </c>
      <c r="B10" s="124" t="s">
        <v>117</v>
      </c>
      <c r="C10" s="114" t="s">
        <v>187</v>
      </c>
      <c r="M10" s="143" t="s">
        <v>167</v>
      </c>
    </row>
    <row r="11" spans="1:13" ht="19.899999999999999" customHeight="1">
      <c r="A11" s="114" t="s">
        <v>125</v>
      </c>
      <c r="B11" s="124" t="s">
        <v>118</v>
      </c>
      <c r="C11" s="114" t="s">
        <v>188</v>
      </c>
      <c r="M11" s="143" t="s">
        <v>162</v>
      </c>
    </row>
    <row r="12" spans="1:13" ht="19.899999999999999" customHeight="1">
      <c r="A12" s="114" t="s">
        <v>231</v>
      </c>
      <c r="B12" s="124" t="s">
        <v>119</v>
      </c>
      <c r="C12" s="114" t="s">
        <v>189</v>
      </c>
      <c r="M12" s="143" t="s">
        <v>754</v>
      </c>
    </row>
    <row r="13" spans="1:13" ht="19.899999999999999" customHeight="1">
      <c r="A13" s="114" t="s">
        <v>377</v>
      </c>
      <c r="B13" s="124" t="s">
        <v>120</v>
      </c>
      <c r="C13" s="114" t="s">
        <v>190</v>
      </c>
      <c r="M13" s="143" t="s">
        <v>287</v>
      </c>
    </row>
    <row r="14" spans="1:13" ht="19.899999999999999" customHeight="1">
      <c r="A14" s="114" t="s">
        <v>381</v>
      </c>
      <c r="B14" s="124" t="s">
        <v>121</v>
      </c>
      <c r="C14" s="114" t="s">
        <v>191</v>
      </c>
      <c r="M14" s="143" t="s">
        <v>290</v>
      </c>
    </row>
    <row r="15" spans="1:13" ht="19.899999999999999" customHeight="1">
      <c r="A15" s="114" t="s">
        <v>809</v>
      </c>
      <c r="B15" s="124" t="s">
        <v>113</v>
      </c>
      <c r="C15" s="114" t="s">
        <v>192</v>
      </c>
      <c r="M15" s="143" t="s">
        <v>362</v>
      </c>
    </row>
    <row r="16" spans="1:13" ht="19.899999999999999" customHeight="1">
      <c r="A16" s="114" t="s">
        <v>139</v>
      </c>
      <c r="B16" s="124" t="s">
        <v>114</v>
      </c>
      <c r="C16" s="114" t="s">
        <v>193</v>
      </c>
      <c r="M16" s="143" t="s">
        <v>367</v>
      </c>
    </row>
    <row r="17" spans="2:13" ht="19.899999999999999" customHeight="1">
      <c r="B17" s="124" t="s">
        <v>122</v>
      </c>
      <c r="C17" s="114" t="s">
        <v>194</v>
      </c>
    </row>
    <row r="18" spans="2:13" ht="19.899999999999999" customHeight="1">
      <c r="B18" s="124" t="s">
        <v>374</v>
      </c>
      <c r="C18" s="114" t="s">
        <v>195</v>
      </c>
      <c r="M18" s="143" t="s">
        <v>368</v>
      </c>
    </row>
    <row r="19" spans="2:13" ht="19.899999999999999" customHeight="1">
      <c r="B19" s="124" t="s">
        <v>369</v>
      </c>
      <c r="C19" s="114" t="s">
        <v>196</v>
      </c>
      <c r="M19" s="143" t="s">
        <v>372</v>
      </c>
    </row>
    <row r="20" spans="2:13" ht="19.899999999999999" customHeight="1">
      <c r="B20" s="124" t="s">
        <v>375</v>
      </c>
      <c r="C20" s="114" t="s">
        <v>197</v>
      </c>
      <c r="M20" s="143" t="s">
        <v>373</v>
      </c>
    </row>
    <row r="21" spans="2:13" ht="19.899999999999999" customHeight="1">
      <c r="B21" s="124" t="s">
        <v>370</v>
      </c>
      <c r="C21" s="114" t="s">
        <v>198</v>
      </c>
      <c r="M21" s="143" t="s">
        <v>379</v>
      </c>
    </row>
    <row r="22" spans="2:13" ht="19.899999999999999" customHeight="1">
      <c r="B22" s="124" t="s">
        <v>376</v>
      </c>
      <c r="C22" s="114" t="s">
        <v>199</v>
      </c>
    </row>
    <row r="23" spans="2:13" ht="19.899999999999999" customHeight="1">
      <c r="B23" s="124" t="s">
        <v>360</v>
      </c>
      <c r="C23" s="114" t="s">
        <v>200</v>
      </c>
    </row>
  </sheetData>
  <customSheetViews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2026-05-23T01:35:30Z</cp:lastPrinted>
  <dcterms:created xsi:type="dcterms:W3CDTF">2006-09-16T00:00:00Z</dcterms:created>
  <dcterms:modified xsi:type="dcterms:W3CDTF">2026-07-17T14:14:03Z</dcterms:modified>
</cp:coreProperties>
</file>