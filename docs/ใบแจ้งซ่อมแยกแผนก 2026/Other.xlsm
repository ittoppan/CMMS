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CB32FCE4-0856-459A-8671-41763339232B}" xr6:coauthVersionLast="47" xr6:coauthVersionMax="47" xr10:uidLastSave="{00000000-0000-0000-0000-000000000000}"/>
  <bookViews>
    <workbookView xWindow="-120" yWindow="-120" windowWidth="20730" windowHeight="1104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<sst xmlns="http://schemas.openxmlformats.org/spreadsheetml/2006/main" count="1289" uniqueCount="825">
  <si>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</si>
  <si>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</si>
  <si>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</si>
  <si>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</si>
  <si>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</si>
  <si>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</si>
  <si>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</si>
  <si>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</si>
  <si>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</si>
  <si>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</si>
  <si>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</si>
  <si>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</si>
  <si>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</si>
  <si>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</si>
  <si>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</si>
  <si>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</si>
  <si>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</si>
  <si>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</si>
  <si>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</si>
  <si>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</si>
  <si>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</si>
  <si>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</si>
  <si>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</si>
  <si>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</si>
  <si>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</si>
  <si>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</si>
  <si>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</si>
  <si>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</si>
  <si>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</si>
  <si>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</si>
  <si>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</si>
  <si>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</si>
  <si>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</si>
  <si>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</si>
  <si>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</si>
  <si>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</si>
  <si>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</si>
  <si>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</si>
  <si>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</si>
  <si>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</si>
  <si>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</si>
  <si>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</si>
  <si>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</si>
  <si>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</si>
  <si>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</si>
  <si>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</si>
  <si>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</si>
  <si>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</si>
  <si>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</si>
  <si>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</si>
  <si>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</si>
  <si>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</si>
  <si>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</si>
  <si>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</si>
  <si>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</si>
  <si>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</si>
  <si>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</si>
  <si>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</si>
  <si>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</si>
  <si>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</si>
  <si>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</si>
  <si>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</si>
  <si>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</si>
  <si>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</si>
  <si>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</si>
  <si>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</si>
  <si>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</si>
  <si>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</si>
  <si>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</si>
  <si>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</si>
  <si>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</si>
  <si>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</si>
  <si>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</si>
  <si>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</si>
  <si>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</si>
  <si>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</si>
  <si>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</si>
  <si>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</si>
  <si>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</si>
  <si>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</si>
  <si>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</si>
  <si>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</si>
  <si>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</si>
  <si>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</si>
  <si>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</si>
  <si>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</si>
  <si>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</si>
  <si>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</si>
  <si>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</si>
  <si>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</si>
  <si>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</si>
  <si>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</si>
  <si>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</si>
  <si>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</si>
  <si>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</si>
  <si>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</si>
  <si>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</si>
  <si>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</si>
  <si>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</si>
  <si>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</si>
  <si>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</si>
  <si>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</si>
  <si>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</si>
  <si>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</si>
  <si>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</si>
  <si>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</si>
  <si>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</si>
  <si>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</si>
  <si>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</si>
  <si>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</si>
  <si>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</si>
  <si>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</si>
  <si>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</si>
  <si>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</si>
  <si>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</si>
  <si>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</si>
  <si>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</si>
  <si>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</si>
  <si>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</si>
  <si>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</si>
  <si>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</si>
  <si>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</si>
  <si>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</si>
  <si>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</si>
  <si>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</si>
  <si>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</si>
  <si>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</si>
  <si>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</si>
  <si>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</si>
  <si>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</si>
  <si>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</si>
  <si>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</si>
  <si>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</si>
  <si>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</si>
  <si>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</si>
  <si>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</si>
  <si>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</si>
  <si>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</si>
  <si>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</si>
  <si>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</si>
  <si>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</si>
  <si>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</si>
  <si>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</si>
  <si>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</si>
  <si>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</si>
  <si>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</si>
  <si>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</si>
  <si>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</si>
  <si>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</si>
  <si>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</si>
  <si>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</si>
  <si>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</si>
  <si>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</si>
  <si>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</si>
  <si>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</si>
  <si>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</si>
  <si>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</si>
  <si>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</si>
  <si>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</si>
  <si>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</si>
  <si>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</si>
  <si>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</si>
  <si>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</si>
  <si>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</si>
  <si>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</si>
  <si>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</si>
  <si>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</si>
  <si>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</si>
  <si>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</si>
  <si>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</si>
  <si>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</si>
  <si>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</si>
  <si>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</si>
  <si>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</si>
  <si>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</si>
  <si>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</si>
  <si>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</si>
  <si>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</si>
  <si>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</si>
  <si>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</si>
  <si>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</si>
  <si>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</si>
  <si>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</si>
  <si>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</si>
  <si>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</si>
  <si>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</si>
  <si>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</si>
  <si>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</si>
  <si>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</si>
  <si>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</si>
  <si>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</si>
  <si>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</si>
  <si>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</si>
  <si>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</si>
  <si>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</si>
  <si>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</si>
  <si>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</si>
  <si>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</si>
  <si>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</si>
  <si>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</si>
  <si>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</si>
  <si>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</si>
  <si>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</si>
  <si>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</si>
  <si>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</si>
  <si>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</si>
  <si>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</si>
  <si>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</si>
  <si>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</si>
  <si>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</si>
  <si>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</si>
  <si>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</si>
  <si>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</si>
  <si>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</si>
  <si>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</si>
  <si>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</si>
  <si>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</si>
  <si>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</si>
  <si>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</si>
  <si>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</si>
  <si>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</si>
  <si>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</si>
  <si>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</si>
  <si>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</si>
  <si>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</si>
  <si>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</si>
  <si>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</si>
  <si>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</si>
  <si>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</si>
  <si>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</si>
  <si>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</si>
  <si>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</si>
  <si>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</si>
  <si>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</si>
  <si>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</si>
  <si>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</si>
  <si>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</si>
  <si>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</si>
  <si>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</si>
  <si>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</si>
  <si>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</si>
  <si>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</si>
  <si>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</si>
  <si>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</si>
  <si>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</si>
  <si>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</si>
  <si>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</si>
  <si>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</si>
  <si>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</si>
  <si>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</si>
  <si>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</si>
  <si>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</si>
  <si>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</si>
  <si>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</si>
  <si>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</si>
  <si>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</si>
  <si>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</si>
  <si>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</si>
  <si>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</si>
  <si>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</si>
  <si>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</si>
  <si>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</si>
  <si>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</si>
  <si>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</si>
  <si>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</si>
  <si>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</si>
  <si>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</si>
  <si>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</si>
  <si>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</si>
  <si>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</si>
  <si>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</si>
  <si>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</si>
  <si>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</si>
  <si>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</si>
  <si>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</si>
  <si>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</si>
  <si>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</si>
  <si>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</si>
  <si>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</si>
  <si>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</si>
  <si>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</si>
  <si>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</si>
  <si>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</si>
  <si>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</si>
  <si>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</si>
  <si>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</si>
  <si>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</si>
  <si>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</si>
  <si>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</si>
  <si>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</si>
  <si>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</si>
  <si>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</si>
  <si>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</si>
  <si>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</si>
  <si>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</si>
  <si>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</si>
  <si>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</si>
  <si>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</si>
  <si>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</si>
  <si>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</si>
  <si>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</si>
  <si>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</si>
  <si>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</si>
  <si>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</si>
  <si>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</si>
  <si>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</si>
  <si>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</si>
  <si>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</si>
  <si>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</si>
  <si>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</si>
  <si>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</si>
  <si>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</si>
  <si>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</si>
  <si>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</si>
  <si>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</si>
  <si>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</si>
  <si>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</si>
  <si>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</si>
  <si>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</si>
  <si>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</si>
  <si>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</si>
  <si>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</si>
  <si>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</si>
  <si>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</si>
  <si>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</si>
  <si>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</si>
  <si>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</si>
  <si>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</si>
  <si>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</si>
  <si>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</si>
  <si>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</si>
  <si>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</si>
  <si>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</si>
  <si>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</si>
  <si>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</si>
  <si>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</si>
  <si>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</si>
  <si>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</si>
  <si>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</si>
  <si>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</si>
  <si>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</si>
  <si>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</si>
  <si>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</si>
  <si>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</si>
  <si>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</si>
  <si>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</si>
  <si>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</si>
  <si>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</si>
  <si>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</si>
  <si>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</si>
  <si>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</si>
  <si>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</si>
  <si>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</si>
  <si>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</si>
  <si>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</si>
  <si>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</si>
  <si>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</si>
  <si>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</si>
  <si>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</si>
  <si>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</si>
  <si>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</si>
  <si>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</si>
  <si>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</si>
  <si>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</si>
  <si>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</si>
  <si>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</si>
  <si>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</si>
  <si>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</si>
  <si>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</si>
  <si>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</si>
  <si>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</si>
  <si>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</si>
  <si>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</si>
  <si>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</si>
  <si>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</si>
  <si>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</si>
  <si>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</si>
  <si>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</si>
  <si>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</si>
  <si>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</si>
  <si>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</si>
  <si>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</si>
  <si>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</si>
  <si>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</si>
  <si>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</si>
  <si>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</si>
  <si>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</si>
  <si>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</si>
  <si>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</si>
  <si>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</si>
  <si>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</si>
  <si>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</si>
  <si>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</si>
  <si>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</si>
  <si>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</si>
  <si>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</si>
  <si>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</si>
  <si>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</si>
  <si>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</si>
  <si>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</si>
  <si>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</si>
  <si>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</si>
  <si>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</si>
  <si>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</si>
  <si>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</si>
  <si>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</si>
  <si>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</si>
  <si>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</si>
  <si>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</si>
  <si>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</si>
  <si>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</si>
  <si>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</si>
  <si>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</si>
  <si>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</si>
  <si>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</si>
  <si>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</si>
  <si>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</si>
  <si>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</si>
  <si>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</si>
  <si>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</si>
  <si>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</si>
  <si>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</si>
  <si>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</si>
  <si>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</si>
  <si>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</si>
  <si>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</si>
  <si>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</si>
  <si>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</si>
  <si>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</si>
  <si>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</si>
  <si>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</si>
  <si>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</si>
  <si>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</si>
  <si>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</si>
  <si>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</si>
  <si>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</si>
  <si>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</si>
  <si>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</si>
  <si>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</si>
  <si>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</si>
  <si>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</si>
  <si>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</si>
  <si>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</si>
  <si>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</si>
  <si>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</si>
  <si>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</si>
  <si>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</si>
  <si>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</si>
  <si>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</si>
  <si>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</si>
  <si>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</si>
  <si>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</si>
  <si>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</si>
  <si>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</si>
  <si>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</si>
  <si>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</si>
  <si>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</si>
  <si>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</si>
  <si>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</si>
  <si>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</si>
  <si>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</si>
  <si>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</si>
  <si>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</si>
  <si>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</si>
  <si>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</si>
  <si>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</si>
  <si>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</si>
  <si>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</si>
  <si>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</si>
  <si>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</si>
  <si>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</si>
  <si>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</si>
  <si>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</si>
  <si>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</si>
  <si>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</si>
  <si>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</si>
  <si>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</si>
  <si>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</si>
  <si>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</si>
  <si>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</si>
  <si>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</si>
  <si>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</si>
  <si>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</si>
  <si>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</si>
  <si>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</si>
  <si>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</si>
  <si>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</si>
  <si>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</si>
  <si>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</si>
  <si>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</si>
  <si>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</si>
  <si>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</si>
  <si>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</si>
  <si>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</si>
  <si>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</si>
  <si>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</si>
  <si>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</si>
  <si>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</si>
  <si>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</si>
  <si>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</si>
  <si>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</si>
  <si>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</si>
  <si>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</si>
  <si>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</si>
  <si>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</si>
  <si>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</si>
  <si>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</si>
  <si>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</si>
  <si>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</si>
  <si>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</si>
  <si>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</si>
  <si>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</si>
  <si>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</si>
  <si>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</si>
  <si>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</si>
  <si>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</si>
  <si>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</si>
  <si>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</si>
  <si>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</si>
  <si>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</si>
  <si>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</si>
  <si>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</si>
  <si>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</si>
  <si>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</si>
  <si>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</si>
  <si>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</si>
  <si>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</si>
  <si>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</si>
  <si>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</si>
  <si>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</si>
  <si>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</si>
  <si>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</si>
  <si>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</si>
  <si>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</si>
  <si>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</si>
  <si>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</si>
  <si>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</si>
  <si>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</si>
  <si>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</si>
  <si>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</si>
  <si>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</si>
  <si>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</si>
  <si>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</si>
  <si>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</si>
  <si>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</si>
  <si>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</si>
  <si>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</si>
  <si>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</si>
  <si>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</si>
  <si>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</si>
  <si>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</si>
  <si>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</si>
  <si>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</si>
  <si>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</si>
  <si>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</si>
  <si>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</si>
  <si>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</si>
  <si>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</si>
  <si>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</si>
  <si>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</si>
  <si>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</si>
  <si>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</si>
  <si>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</si>
  <si>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</si>
  <si>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</si>
  <si>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</si>
  <si>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</si>
  <si>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</si>
  <si>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</si>
  <si>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</si>
  <si>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</si>
  <si>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</si>
  <si>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</si>
  <si>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</si>
  <si>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</si>
  <si>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</si>
  <si>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</si>
  <si>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</si>
  <si>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</si>
  <si>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</si>
  <si>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</si>
  <si>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</si>
  <si>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</si>
  <si>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</si>
  <si>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</si>
  <si>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</si>
  <si>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</si>
  <si>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</si>
  <si>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</si>
  <si>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</si>
  <si>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</si>
  <si>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</si>
  <si>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</si>
  <si>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</si>
  <si>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</si>
  <si>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</si>
  <si>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</si>
  <si>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</si>
  <si>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</si>
  <si>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</si>
  <si>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</si>
  <si>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</si>
  <si>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</si>
  <si>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</si>
  <si>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</si>
  <si>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</si>
  <si>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</si>
  <si>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</si>
  <si>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</si>
  <si>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</si>
  <si>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</si>
  <si>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</si>
  <si>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</si>
  <si>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</si>
  <si>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</si>
  <si>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</si>
  <si>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</si>
  <si>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</si>
  <si>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</si>
  <si>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</si>
  <si>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</si>
  <si>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</si>
  <si>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</si>
  <si>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</si>
  <si>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</si>
  <si>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</si>
  <si>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</si>
  <si>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</si>
  <si>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</si>
  <si>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</si>
  <si>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</si>
  <si>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</si>
  <si>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</si>
  <si>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</si>
  <si>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</si>
  <si>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</si>
  <si>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</si>
  <si>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</si>
  <si>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</si>
  <si>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</si>
  <si>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</si>
  <si>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</si>
  <si>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</si>
  <si>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</si>
  <si>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</si>
  <si>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</si>
  <si>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</si>
  <si>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</si>
  <si>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</si>
  <si>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</si>
  <si>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</si>
  <si>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</si>
  <si>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</si>
  <si>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</si>
  <si>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</si>
  <si>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</si>
  <si>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</si>
  <si>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</si>
  <si>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</si>
  <si>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</si>
  <si>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</si>
  <si>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</si>
  <si>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</si>
  <si>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</si>
  <si>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</si>
  <si>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</si>
  <si>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</si>
  <si>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</si>
  <si>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</si>
  <si>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</si>
  <si>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</si>
  <si>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</si>
  <si>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</si>
  <si>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</si>
  <si>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</si>
  <si>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</si>
  <si>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</si>
  <si>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</si>
  <si>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</si>
  <si>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</si>
  <si>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</si>
  <si>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</si>
  <si>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</si>
  <si>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</si>
  <si>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</si>
  <si>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</si>
  <si>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</si>
  <si>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</si>
  <si>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</si>
  <si>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</si>
  <si>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</si>
  <si>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</si>
  <si>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</si>
  <si>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</si>
  <si>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</si>
  <si>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</si>
  <si>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</si>
  <si>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</si>
  <si>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</si>
  <si>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</si>
  <si>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</si>
  <si>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</si>
  <si>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</si>
  <si>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</si>
  <si>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</si>
  <si>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</si>
  <si>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</si>
  <si>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</si>
  <si>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</si>
  <si>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</si>
  <si>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</si>
  <si>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</si>
  <si>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</si>
  <si>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</si>
  <si>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</si>
  <si>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</si>
  <si>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</si>
  <si>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</si>
  <si>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</si>
  <si>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</si>
  <si>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</si>
  <si>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</si>
  <si>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</si>
  <si>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</si>
  <si>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</si>
  <si>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</si>
  <si>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</si>
  <si>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</si>
  <si>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</si>
  <si>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</si>
  <si>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</si>
  <si>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</si>
  <si>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</si>
  <si>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</si>
  <si>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</si>
  <si>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</si>
  <si>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</si>
  <si>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</si>
  <si>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</si>
  <si>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</si>
  <si>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</si>
  <si>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</si>
  <si>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</si>
  <si>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</si>
  <si>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</si>
  <si>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</si>
  <si>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</si>
  <si>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</si>
  <si>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</si>
  <si>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</si>
  <si>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</si>
  <si>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</si>
  <si>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</si>
  <si>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</si>
  <si>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</si>
  <si>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</si>
  <si>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</si>
  <si>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</si>
  <si>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</si>
  <si>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</si>
  <si>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</si>
  <si>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</si>
  <si>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</si>
  <si>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</si>
  <si>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</si>
  <si>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</si>
  <si>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</si>
  <si>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</si>
  <si>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</si>
  <si>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</si>
  <si>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</si>
  <si>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</si>
  <si>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</si>
  <si>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</si>
  <si>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</si>
  <si>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</si>
  <si>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</si>
  <si>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</si>
  <si>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</si>
  <si>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</si>
  <si>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</si>
  <si>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</si>
  <si>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</si>
  <si>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</si>
  <si>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</si>
  <si>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</si>
  <si>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</si>
  <si>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</si>
  <si>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</si>
  <si>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</si>
  <si>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</si>
  <si>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</si>
  <si>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</si>
  <si>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</si>
  <si>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</si>
  <si>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</si>
  <si>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</si>
  <si>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</si>
  <si>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</si>
  <si>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</si>
  <si>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</si>
  <si>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</si>
  <si>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</si>
  <si>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</si>
  <si>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</si>
  <si>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</si>
  <si>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</si>
  <si>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</si>
  <si>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</si>
  <si>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ทำการจัดเก็บสาย</t>
  </si>
  <si>
    <t>27/05/2026</t>
  </si>
  <si>
    <t>30น.</t>
  </si>
  <si>
    <t>พรรณภา หล้าเพชร</t>
  </si>
  <si>
    <t>03.30 PM</t>
  </si>
  <si>
    <t xml:space="preserve">Insect light trap No.20 </t>
  </si>
  <si>
    <t>Insect light trap No.20 สูงเกินและมีลูกยางขว้างทางเอาออก</t>
  </si>
  <si>
    <t xml:space="preserve">ย้ายออก มาอยู่ใกล้ประตูชัตเตอร์ Dry </t>
  </si>
  <si>
    <t>รอกำหนดจุดใหม่และยืนยันเนื่องจากต้องคอนเฟริมกับเจ้าของพื้นที่</t>
  </si>
  <si>
    <t>เอกสินธุ์ สัตย์รักษา</t>
  </si>
  <si>
    <t>เพิ่มปลั๊กไปสำหรับ computer 5เครื่อง ที่ห้อง Solventless</t>
  </si>
  <si>
    <t>เอาพาทิชั่นที่อยู่บนชั้นลอยมากั้น ที่ห้อง Solventless</t>
  </si>
  <si>
    <t>เดินปลั๊กไฟใหม่</t>
  </si>
  <si>
    <t>ปลั๊กไฟ 5 เมตร</t>
  </si>
  <si>
    <t>1 อัน</t>
  </si>
  <si>
    <t>ทำขาตั้ง,ความสะอาดส่งเข้าแผนก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</si>
</sst>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7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  <xf numFmtId="14" fontId="4" fillId="8" borderId="6" xfId="0" applyNumberFormat="1" applyFont="1" applyFill="1" applyBorder="1" applyAlignment="1">
      <alignment horizontal="center" vertic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17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690941"/>
          <a:ext cx="1280160" cy="42147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4355314"/>
          <a:ext cx="1280160" cy="45719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5007762"/>
          <a:ext cx="1280160" cy="45720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7770043"/>
          <a:ext cx="1280160" cy="45720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902425"/>
          <a:ext cx="1359693" cy="67627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6267443"/>
          <a:ext cx="1280160" cy="45720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7731945"/>
          <a:ext cx="1280160" cy="45720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8915436"/>
          <a:ext cx="1359693" cy="67627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312102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T1" zoomScale="80" zoomScaleNormal="80" workbookViewId="0">
      <pane ySplit="10" topLeftCell="A27" activePane="bottomLeft" state="frozen"/>
      <selection pane="bottomLeft" activeCell="AB78" sqref="AB78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4">
        <v>17</v>
      </c>
      <c r="J2" s="255" t="str">
        <f ca="1">IFERROR(VLOOKUP(I2,JOB_NO,2,0),0)</f>
        <v>EN-26-017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4"/>
      <c r="J3" s="255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49" t="s">
        <v>371</v>
      </c>
      <c r="C4" s="25"/>
      <c r="D4" s="253" t="s">
        <v>1</v>
      </c>
      <c r="E4" s="253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49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49"/>
      <c r="D6" s="251" t="s">
        <v>384</v>
      </c>
      <c r="E6" s="252"/>
      <c r="F6" s="252"/>
      <c r="G6" s="252"/>
      <c r="H6" s="252"/>
      <c r="I6" s="250" t="s">
        <v>285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13" t="s">
        <v>3</v>
      </c>
      <c r="AG6" s="199">
        <f ca="1">TODAY()</f>
        <v>46242</v>
      </c>
      <c r="AH6" s="40">
        <f ca="1">NOW()</f>
        <v>46242.828280787035</v>
      </c>
    </row>
    <row r="7" spans="1:35" ht="4.1500000000000004" customHeight="1">
      <c r="B7" s="249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49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49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49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customHeight="1">
      <c r="D27" s="13">
        <v>17</v>
      </c>
      <c r="E27" s="13" t="s">
        <v>402</v>
      </c>
      <c r="F27" s="15" t="s">
        <v>155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 t="s">
        <v>178</v>
      </c>
      <c r="Q27" s="147" t="s">
        <v>809</v>
      </c>
      <c r="R27" s="147" t="s">
        <v>289</v>
      </c>
      <c r="S27" s="147"/>
      <c r="T27" s="147" t="s">
        <v>289</v>
      </c>
      <c r="U27" s="216" t="s">
        <v>289</v>
      </c>
      <c r="V27" s="147" t="s">
        <v>203</v>
      </c>
      <c r="W27" s="147"/>
      <c r="X27" s="154" t="s">
        <v>208</v>
      </c>
      <c r="Y27" s="147"/>
      <c r="Z27" s="150" t="s">
        <v>810</v>
      </c>
      <c r="AA27" s="151">
        <v>0.22916666666666666</v>
      </c>
      <c r="AB27" s="150" t="s">
        <v>810</v>
      </c>
      <c r="AC27" s="151">
        <v>0.25</v>
      </c>
      <c r="AD27" s="152" t="s">
        <v>811</v>
      </c>
      <c r="AE27" s="153"/>
      <c r="AF27" s="126" t="s">
        <v>719</v>
      </c>
      <c r="AG27" s="147" t="s">
        <v>163</v>
      </c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153</v>
      </c>
      <c r="G71" s="118" t="s">
        <v>139</v>
      </c>
      <c r="H71" s="126" t="s">
        <v>812</v>
      </c>
      <c r="I71" s="14">
        <v>46189</v>
      </c>
      <c r="J71" s="48" t="s">
        <v>813</v>
      </c>
      <c r="K71" s="118" t="s">
        <v>365</v>
      </c>
      <c r="L71" s="118" t="s">
        <v>141</v>
      </c>
      <c r="M71" s="118"/>
      <c r="N71" s="127" t="s">
        <v>814</v>
      </c>
      <c r="O71" s="16" t="s">
        <v>815</v>
      </c>
      <c r="P71" s="147" t="s">
        <v>178</v>
      </c>
      <c r="Q71" s="147" t="s">
        <v>816</v>
      </c>
      <c r="R71" s="147"/>
      <c r="S71" s="228" t="s">
        <v>817</v>
      </c>
      <c r="T71" s="147"/>
      <c r="U71" s="217">
        <v>1</v>
      </c>
      <c r="V71" s="147" t="s">
        <v>203</v>
      </c>
      <c r="W71" s="147"/>
      <c r="X71" s="154" t="s">
        <v>208</v>
      </c>
      <c r="Y71" s="147"/>
      <c r="Z71" s="150"/>
      <c r="AA71" s="151"/>
      <c r="AB71" s="150"/>
      <c r="AC71" s="151"/>
      <c r="AD71" s="152"/>
      <c r="AE71" s="153"/>
      <c r="AF71" s="148"/>
      <c r="AG71" s="147"/>
      <c r="AH71" s="147"/>
    </row>
    <row r="72" spans="4:34" ht="18" customHeight="1">
      <c r="D72" s="15">
        <v>62</v>
      </c>
      <c r="E72" s="13" t="s">
        <v>447</v>
      </c>
      <c r="F72" s="15" t="s">
        <v>155</v>
      </c>
      <c r="G72" s="118" t="s">
        <v>139</v>
      </c>
      <c r="H72" s="126" t="s">
        <v>818</v>
      </c>
      <c r="I72" s="14">
        <v>46224</v>
      </c>
      <c r="J72" s="48">
        <v>0.4909722222222222</v>
      </c>
      <c r="K72" s="118" t="s">
        <v>138</v>
      </c>
      <c r="L72" s="118" t="s">
        <v>142</v>
      </c>
      <c r="M72" s="118"/>
      <c r="N72" s="127" t="s">
        <v>819</v>
      </c>
      <c r="O72" s="16"/>
      <c r="P72" s="147" t="s">
        <v>178</v>
      </c>
      <c r="Q72" s="147" t="s">
        <v>821</v>
      </c>
      <c r="R72" s="147"/>
      <c r="S72" s="147"/>
      <c r="T72" s="147" t="s">
        <v>822</v>
      </c>
      <c r="U72" s="217" t="s">
        <v>823</v>
      </c>
      <c r="V72" s="147" t="s">
        <v>203</v>
      </c>
      <c r="W72" s="147"/>
      <c r="X72" s="154" t="s">
        <v>208</v>
      </c>
      <c r="Y72" s="147"/>
      <c r="Z72" s="406">
        <v>46030</v>
      </c>
      <c r="AA72" s="151">
        <v>0.33333333333333331</v>
      </c>
      <c r="AB72" s="406">
        <v>46030</v>
      </c>
      <c r="AC72" s="151">
        <v>0.70833333333333337</v>
      </c>
      <c r="AD72" s="152"/>
      <c r="AE72" s="153"/>
      <c r="AF72" s="148" t="s">
        <v>818</v>
      </c>
      <c r="AG72" s="147" t="s">
        <v>164</v>
      </c>
      <c r="AH72" s="147"/>
    </row>
    <row r="73" spans="4:34" ht="18" customHeight="1">
      <c r="D73" s="13">
        <v>63</v>
      </c>
      <c r="E73" s="13" t="s">
        <v>448</v>
      </c>
      <c r="F73" s="15" t="s">
        <v>155</v>
      </c>
      <c r="G73" s="118" t="s">
        <v>139</v>
      </c>
      <c r="H73" s="126" t="s">
        <v>818</v>
      </c>
      <c r="I73" s="14">
        <v>46224</v>
      </c>
      <c r="J73" s="48">
        <v>0.57847222222222228</v>
      </c>
      <c r="K73" s="118" t="s">
        <v>139</v>
      </c>
      <c r="L73" s="118" t="s">
        <v>142</v>
      </c>
      <c r="M73" s="118"/>
      <c r="N73" s="127" t="s">
        <v>820</v>
      </c>
      <c r="O73" s="16"/>
      <c r="P73" s="147" t="s">
        <v>178</v>
      </c>
      <c r="Q73" s="147" t="s">
        <v>824</v>
      </c>
      <c r="R73" s="147"/>
      <c r="S73" s="147"/>
      <c r="T73" s="147"/>
      <c r="U73" s="217"/>
      <c r="V73" s="147" t="s">
        <v>203</v>
      </c>
      <c r="W73" s="147"/>
      <c r="X73" s="154" t="s">
        <v>208</v>
      </c>
      <c r="Y73" s="147"/>
      <c r="Z73" s="406">
        <v>46030</v>
      </c>
      <c r="AA73" s="151">
        <v>0.33333333333333331</v>
      </c>
      <c r="AB73" s="406">
        <v>46030</v>
      </c>
      <c r="AC73" s="151">
        <v>0.70833333333333337</v>
      </c>
      <c r="AD73" s="152"/>
      <c r="AE73" s="153"/>
      <c r="AF73" s="148" t="s">
        <v>818</v>
      </c>
      <c r="AG73" s="147" t="s">
        <v>164</v>
      </c>
      <c r="AH73" s="147"/>
    </row>
    <row r="74" spans="4:34" ht="18" customHeight="1">
      <c r="D74" s="15">
        <v>64</v>
      </c>
      <c r="E74" s="13" t="s">
        <v>449</v>
      </c>
      <c r="F74" s="15"/>
      <c r="G74" s="118"/>
      <c r="H74" s="126"/>
      <c r="I74" s="14"/>
      <c r="J74" s="48"/>
      <c r="K74" s="118"/>
      <c r="L74" s="118"/>
      <c r="M74" s="118"/>
      <c r="N74" s="127"/>
      <c r="O74" s="16"/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450</v>
      </c>
      <c r="F75" s="15"/>
      <c r="G75" s="118"/>
      <c r="H75" s="126"/>
      <c r="I75" s="14"/>
      <c r="J75" s="48"/>
      <c r="K75" s="118"/>
      <c r="L75" s="118"/>
      <c r="M75" s="118"/>
      <c r="N75" s="127"/>
      <c r="O75" s="16"/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customHeight="1">
      <c r="D76" s="15">
        <v>66</v>
      </c>
      <c r="E76" s="13" t="s">
        <v>451</v>
      </c>
      <c r="F76" s="15"/>
      <c r="G76" s="118"/>
      <c r="H76" s="126"/>
      <c r="I76" s="14"/>
      <c r="J76" s="48"/>
      <c r="K76" s="118"/>
      <c r="L76" s="118"/>
      <c r="M76" s="118"/>
      <c r="N76" s="127"/>
      <c r="O76" s="16"/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customHeight="1">
      <c r="D77" s="13">
        <v>67</v>
      </c>
      <c r="E77" s="13" t="s">
        <v>452</v>
      </c>
      <c r="F77" s="15"/>
      <c r="G77" s="118"/>
      <c r="H77" s="126"/>
      <c r="I77" s="14"/>
      <c r="J77" s="48"/>
      <c r="K77" s="118"/>
      <c r="L77" s="118"/>
      <c r="M77" s="118"/>
      <c r="N77" s="127"/>
      <c r="O77" s="16"/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customHeight="1">
      <c r="D78" s="15">
        <v>68</v>
      </c>
      <c r="E78" s="13" t="s">
        <v>453</v>
      </c>
      <c r="F78" s="15"/>
      <c r="G78" s="118"/>
      <c r="H78" s="126"/>
      <c r="I78" s="14"/>
      <c r="J78" s="48"/>
      <c r="K78" s="118"/>
      <c r="L78" s="118"/>
      <c r="M78" s="118"/>
      <c r="N78" s="127"/>
      <c r="O78" s="16"/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customHeight="1">
      <c r="D79" s="13">
        <v>69</v>
      </c>
      <c r="E79" s="13" t="s">
        <v>454</v>
      </c>
      <c r="F79" s="15"/>
      <c r="G79" s="118"/>
      <c r="H79" s="126"/>
      <c r="I79" s="14"/>
      <c r="J79" s="48"/>
      <c r="K79" s="118"/>
      <c r="L79" s="118"/>
      <c r="M79" s="118"/>
      <c r="N79" s="127"/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customHeight="1">
      <c r="D80" s="15">
        <v>70</v>
      </c>
      <c r="E80" s="13" t="s">
        <v>455</v>
      </c>
      <c r="F80" s="15"/>
      <c r="G80" s="118"/>
      <c r="H80" s="126"/>
      <c r="I80" s="14"/>
      <c r="J80" s="48"/>
      <c r="K80" s="118"/>
      <c r="L80" s="118"/>
      <c r="M80" s="118"/>
      <c r="N80" s="127"/>
      <c r="O80" s="16"/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customHeight="1">
      <c r="D81" s="13">
        <v>71</v>
      </c>
      <c r="E81" s="13" t="s">
        <v>456</v>
      </c>
      <c r="F81" s="15"/>
      <c r="G81" s="118"/>
      <c r="H81" s="126"/>
      <c r="I81" s="14"/>
      <c r="J81" s="48"/>
      <c r="K81" s="118"/>
      <c r="L81" s="118"/>
      <c r="M81" s="118"/>
      <c r="N81" s="127"/>
      <c r="O81" s="16"/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customHeight="1">
      <c r="D82" s="15">
        <v>72</v>
      </c>
      <c r="E82" s="13" t="s">
        <v>457</v>
      </c>
      <c r="F82" s="15"/>
      <c r="G82" s="118"/>
      <c r="H82" s="126"/>
      <c r="I82" s="14"/>
      <c r="J82" s="48"/>
      <c r="K82" s="118"/>
      <c r="L82" s="118"/>
      <c r="M82" s="118"/>
      <c r="N82" s="127"/>
      <c r="O82" s="16"/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customHeight="1">
      <c r="D83" s="13">
        <v>73</v>
      </c>
      <c r="E83" s="13" t="s">
        <v>458</v>
      </c>
      <c r="F83" s="15"/>
      <c r="G83" s="118"/>
      <c r="H83" s="126"/>
      <c r="I83" s="14"/>
      <c r="J83" s="48"/>
      <c r="K83" s="118"/>
      <c r="L83" s="118"/>
      <c r="M83" s="118"/>
      <c r="N83" s="127"/>
      <c r="O83" s="16"/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customHeight="1">
      <c r="D84" s="15">
        <v>74</v>
      </c>
      <c r="E84" s="13" t="s">
        <v>459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460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 blank="1">
        <filter val="Other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F0DFF07D-D777-4F84-AB05-FD0410351DD2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99B67711-499E-4BC8-AAFA-A70388614FA3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57B4CAB0-B3DA-4AE6-A08D-2ECCE5CC6D4E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121B260E-B6F2-4D03-A3A5-3107BFFD8CC3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68BC39AC-C289-4730-952E-ADCF1226305F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72E931AC-CED5-497B-A600-4EB826471509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9F765B42-618D-463F-B59A-273F32450D36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1F111364-DFCD-47E6-9E61-5BEC6952326D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E743ACA4-1E93-4381-9C49-2EE5CD982019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DE7913A4-C25D-4B5E-98A0-769ECA31433B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1BB3A166-BBAE-4A97-A9FD-99DAA4F11CA2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86745262-E0F2-4B33-9F0B-151C40F0956A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4D5AABEC-E507-474E-A50B-1E1B2FC5568E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FCB768E7-54EC-4AB0-8F35-F375D4A086B8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6D2851DE-8BEA-497F-BA30-381ADC0DDF91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99B2C737-8219-4FA8-9D7F-72788351D13B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7621E790-F271-4130-87B8-0E671783732B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5C024FB6-9D5C-46B0-9721-A900FC6B2251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9F4CC63B-4A12-446F-ACAA-8F23819C4027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FB70E904-2AB3-4897-8B67-E30690464990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085BB41B-8591-477F-97EB-CFDAEE3B9D68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724B2D40-F483-4765-AE20-5C46B2777F17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36E2484D-758E-4005-AD05-1A00882CF395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63BB4798-8CB3-4640-B895-AB5C48A12C20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9C204639-77DF-48EF-916E-0D6F4987525F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842A8E5B-6CD8-49E3-9AC0-DB85F40F3B8A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BD13DD3D-8ADD-4D69-B052-BA749B37F6B5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81FFEE54-37F5-4795-B7D9-711AC975E9B7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D7346D91-4CF0-4345-BB45-8EDFD444D3BC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F66935C4-765E-400E-97DF-B01A16765C8D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E3CEF540-B30B-40E7-91A7-0A0B684F7202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2062A473-8988-4F50-B925-99AE46B178B3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D4CF9102-738C-4FF2-9428-7A4E6A084685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E4F0F4BB-EB38-47CF-B003-7C24A4E78FCD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44479D6F-F08E-4E4F-9FF5-D8A5B6B5A82B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AB48" sqref="AB48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EN-26-017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Other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ย้ายสายโทรศัพเบอร์เดิม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46155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 t="str">
        <f t="array" aca="1" ref="L7" ca="1">VLOOKUP($F$2,DataRecord,D7,0)</f>
        <v>08.30 AM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Modify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>
        <f t="array" aca="1" ref="L10" ca="1">VLOOKUP($F$2,DataRecord,D10,0)</f>
        <v>0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ตอนนี้สายอยู่บนพรมไม่ได้เดินสายไว้ด้านล่าง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สำลี ชัยศิรินทร์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อื่นๆ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 t="str">
        <f t="array" aca="1" ref="L14" ca="1">VLOOKUP($F$2,DataRecord,D14,0)</f>
        <v>ทำการจัดเก็บสาย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 t="str">
        <f ca="1">VLOOKUP($F$2,DataRecord,D15,0)</f>
        <v>-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 t="str">
        <f t="array" aca="1" ref="L17" ca="1">VLOOKUP($F$2,DataRecord,D17,0)</f>
        <v>-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 t="str">
        <f t="array" aca="1" ref="L18" ca="1">VLOOKUP($F$2,DataRecord,D18,0)</f>
        <v>-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 t="str">
        <f t="array" aca="1" ref="L23" ca="1">VLOOKUP($F$2,DataRecord,D23,0)</f>
        <v>ดนุพล ฤทธิ์นอก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 t="str">
        <f t="array" aca="1" ref="L24" ca="1">VLOOKUP($F$2,DataRecord,D24,0)</f>
        <v>27/05/2026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0.22916666666666666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 t="str">
        <f t="array" aca="1" ref="L26" ca="1">VLOOKUP($F$2,DataRecord,D26,0)</f>
        <v>27/05/2026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0.25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26"/>
      <c r="D30" s="327"/>
      <c r="E30" s="327"/>
      <c r="F30" s="327"/>
      <c r="G30" s="283"/>
      <c r="H30" s="283"/>
      <c r="I30" s="283"/>
      <c r="J30" s="283"/>
      <c r="K30" s="283"/>
      <c r="L30" s="283"/>
      <c r="M30" s="284"/>
      <c r="N30" s="290" t="s">
        <v>23</v>
      </c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291"/>
      <c r="AA30" s="291"/>
      <c r="AB30" s="291"/>
      <c r="AC30" s="291"/>
      <c r="AD30" s="291"/>
      <c r="AE30" s="291"/>
      <c r="AF30" s="291"/>
      <c r="AG30" s="291"/>
      <c r="AH30" s="291"/>
      <c r="AI30" s="291"/>
      <c r="AJ30" s="291"/>
      <c r="AK30" s="292"/>
      <c r="AL30" s="332" t="s">
        <v>69</v>
      </c>
      <c r="AM30" s="333"/>
      <c r="AN30" s="333"/>
      <c r="AO30" s="333"/>
      <c r="AP30" s="333"/>
      <c r="AQ30" s="333"/>
      <c r="AR30" s="333"/>
      <c r="AS30" s="333"/>
      <c r="AT30" s="334"/>
      <c r="AW30" s="144"/>
    </row>
    <row r="31" spans="3:49" ht="12" customHeight="1">
      <c r="C31" s="328"/>
      <c r="D31" s="329"/>
      <c r="E31" s="329"/>
      <c r="F31" s="329"/>
      <c r="G31" s="268"/>
      <c r="H31" s="268"/>
      <c r="I31" s="268"/>
      <c r="J31" s="268"/>
      <c r="K31" s="268"/>
      <c r="L31" s="268"/>
      <c r="M31" s="285"/>
      <c r="N31" s="293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5"/>
      <c r="AL31" s="302" t="str">
        <f ca="1">"*"&amp;AL33&amp;"*"</f>
        <v>*EN-26-017*</v>
      </c>
      <c r="AM31" s="303"/>
      <c r="AN31" s="303"/>
      <c r="AO31" s="303"/>
      <c r="AP31" s="303"/>
      <c r="AQ31" s="303"/>
      <c r="AR31" s="303"/>
      <c r="AS31" s="303"/>
      <c r="AT31" s="304"/>
      <c r="AW31" s="144"/>
    </row>
    <row r="32" spans="3:49" ht="12" customHeight="1">
      <c r="C32" s="328"/>
      <c r="D32" s="329"/>
      <c r="E32" s="329"/>
      <c r="F32" s="329"/>
      <c r="G32" s="286"/>
      <c r="H32" s="286"/>
      <c r="I32" s="286"/>
      <c r="J32" s="286"/>
      <c r="K32" s="286"/>
      <c r="L32" s="286"/>
      <c r="M32" s="287"/>
      <c r="N32" s="296" t="s">
        <v>24</v>
      </c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8"/>
      <c r="AL32" s="302"/>
      <c r="AM32" s="303"/>
      <c r="AN32" s="303"/>
      <c r="AO32" s="303"/>
      <c r="AP32" s="303"/>
      <c r="AQ32" s="303"/>
      <c r="AR32" s="303"/>
      <c r="AS32" s="303"/>
      <c r="AT32" s="304"/>
      <c r="AW32" s="144"/>
    </row>
    <row r="33" spans="3:54" ht="19.899999999999999" customHeight="1" thickBot="1">
      <c r="C33" s="330"/>
      <c r="D33" s="331"/>
      <c r="E33" s="331"/>
      <c r="F33" s="331"/>
      <c r="G33" s="288"/>
      <c r="H33" s="288"/>
      <c r="I33" s="288"/>
      <c r="J33" s="288"/>
      <c r="K33" s="288"/>
      <c r="L33" s="288"/>
      <c r="M33" s="289"/>
      <c r="N33" s="299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  <c r="AF33" s="300"/>
      <c r="AG33" s="300"/>
      <c r="AH33" s="300"/>
      <c r="AI33" s="300"/>
      <c r="AJ33" s="300"/>
      <c r="AK33" s="301"/>
      <c r="AL33" s="335" t="str">
        <f ca="1">F2</f>
        <v>EN-26-017</v>
      </c>
      <c r="AM33" s="336"/>
      <c r="AN33" s="336"/>
      <c r="AO33" s="336"/>
      <c r="AP33" s="336"/>
      <c r="AQ33" s="336"/>
      <c r="AR33" s="336"/>
      <c r="AS33" s="336"/>
      <c r="AT33" s="337"/>
      <c r="AW33" s="144"/>
    </row>
    <row r="34" spans="3:54" ht="25.15" customHeight="1">
      <c r="C34" s="344" t="s">
        <v>25</v>
      </c>
      <c r="D34" s="345"/>
      <c r="E34" s="345"/>
      <c r="F34" s="345"/>
      <c r="G34" s="345"/>
      <c r="H34" s="345"/>
      <c r="I34" s="345"/>
      <c r="J34" s="345"/>
      <c r="K34" s="345"/>
      <c r="L34" s="345"/>
      <c r="M34" s="345"/>
      <c r="N34" s="345"/>
      <c r="O34" s="345"/>
      <c r="P34" s="345"/>
      <c r="Q34" s="345"/>
      <c r="R34" s="345"/>
      <c r="S34" s="345"/>
      <c r="T34" s="345"/>
      <c r="U34" s="345"/>
      <c r="V34" s="345"/>
      <c r="W34" s="345"/>
      <c r="X34" s="345"/>
      <c r="Y34" s="345"/>
      <c r="Z34" s="345"/>
      <c r="AA34" s="345"/>
      <c r="AB34" s="345"/>
      <c r="AC34" s="345"/>
      <c r="AD34" s="345"/>
      <c r="AE34" s="345"/>
      <c r="AF34" s="345"/>
      <c r="AG34" s="345"/>
      <c r="AH34" s="345"/>
      <c r="AI34" s="345"/>
      <c r="AJ34" s="345"/>
      <c r="AK34" s="345"/>
      <c r="AL34" s="345"/>
      <c r="AM34" s="345"/>
      <c r="AN34" s="345"/>
      <c r="AO34" s="345"/>
      <c r="AP34" s="345"/>
      <c r="AQ34" s="345"/>
      <c r="AR34" s="345"/>
      <c r="AS34" s="345"/>
      <c r="AT34" s="346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43" t="s">
        <v>100</v>
      </c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211"/>
      <c r="AD36" s="212"/>
      <c r="AE36" s="60" t="s">
        <v>28</v>
      </c>
      <c r="AF36" s="61"/>
      <c r="AG36" s="61"/>
      <c r="AH36" s="61"/>
      <c r="AL36" s="341">
        <f ca="1">L6</f>
        <v>46155</v>
      </c>
      <c r="AM36" s="341"/>
      <c r="AN36" s="341"/>
      <c r="AO36" s="341"/>
      <c r="AP36" s="341"/>
      <c r="AQ36" s="341"/>
      <c r="AR36" s="341"/>
      <c r="AS36" s="341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47" t="str">
        <f ca="1">$L$5</f>
        <v>ย้ายสายโทรศัพเบอร์เดิม</v>
      </c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  <c r="AB38" s="347"/>
      <c r="AC38" s="209"/>
      <c r="AD38" s="212"/>
      <c r="AE38" s="60" t="s">
        <v>29</v>
      </c>
      <c r="AF38" s="61"/>
      <c r="AG38" s="61"/>
      <c r="AH38" s="61"/>
      <c r="AL38" s="342" t="str">
        <f ca="1">L7</f>
        <v>08.30 AM</v>
      </c>
      <c r="AM38" s="342"/>
      <c r="AN38" s="342"/>
      <c r="AO38" s="342"/>
      <c r="AP38" s="342"/>
      <c r="AQ38" s="342"/>
      <c r="AR38" s="342"/>
      <c r="AS38" s="342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>P</v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/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49" t="str">
        <f ca="1">"      "&amp;$L$11</f>
        <v xml:space="preserve">      ตอนนี้สายอยู่บนพรมไม่ได้เดินสายไว้ด้านล่าง</v>
      </c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49"/>
      <c r="P47" s="349"/>
      <c r="Q47" s="349"/>
      <c r="R47" s="349"/>
      <c r="S47" s="349"/>
      <c r="T47" s="349"/>
      <c r="U47" s="349"/>
      <c r="V47" s="349"/>
      <c r="W47" s="349"/>
      <c r="X47" s="349"/>
      <c r="Y47" s="349"/>
      <c r="Z47" s="349"/>
      <c r="AA47" s="349"/>
      <c r="AB47" s="349"/>
      <c r="AC47" s="349"/>
      <c r="AD47" s="349"/>
      <c r="AE47" s="349"/>
      <c r="AF47" s="349"/>
      <c r="AG47" s="349"/>
      <c r="AH47" s="349"/>
      <c r="AI47" s="349"/>
      <c r="AJ47" s="349"/>
      <c r="AK47" s="349"/>
      <c r="AL47" s="349"/>
      <c r="AM47" s="349"/>
      <c r="AN47" s="349"/>
      <c r="AO47" s="349"/>
      <c r="AP47" s="349"/>
      <c r="AQ47" s="349"/>
      <c r="AR47" s="349"/>
      <c r="AS47" s="349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  <c r="P49" s="348"/>
      <c r="Q49" s="348"/>
      <c r="R49" s="348"/>
      <c r="S49" s="348"/>
      <c r="T49" s="348"/>
      <c r="U49" s="348"/>
      <c r="V49" s="348"/>
      <c r="W49" s="348"/>
      <c r="X49" s="348"/>
      <c r="Y49" s="348"/>
      <c r="Z49" s="348"/>
      <c r="AA49" s="348"/>
      <c r="AB49" s="348"/>
      <c r="AC49" s="348"/>
      <c r="AD49" s="348"/>
      <c r="AE49" s="348"/>
      <c r="AF49" s="348"/>
      <c r="AG49" s="348"/>
      <c r="AH49" s="348"/>
      <c r="AI49" s="348"/>
      <c r="AJ49" s="348"/>
      <c r="AK49" s="348"/>
      <c r="AL49" s="348"/>
      <c r="AM49" s="348"/>
      <c r="AN49" s="348"/>
      <c r="AO49" s="348"/>
      <c r="AP49" s="348"/>
      <c r="AQ49" s="348"/>
      <c r="AR49" s="348"/>
      <c r="AS49" s="348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267"/>
      <c r="E51" s="267"/>
      <c r="F51" s="267"/>
      <c r="G51" s="351"/>
      <c r="H51" s="351"/>
      <c r="I51" s="351"/>
      <c r="J51" s="351"/>
      <c r="K51" s="351"/>
      <c r="L51" s="351"/>
      <c r="M51" s="351"/>
      <c r="N51" s="351"/>
      <c r="O51" s="351"/>
      <c r="P51" s="351"/>
      <c r="Q51" s="351"/>
      <c r="R51" s="268"/>
      <c r="S51" s="268"/>
      <c r="T51" s="268"/>
      <c r="U51" s="268"/>
      <c r="Y51" s="267" t="s">
        <v>83</v>
      </c>
      <c r="Z51" s="267"/>
      <c r="AA51" s="267"/>
      <c r="AB51" s="350" t="str">
        <f ca="1">$L$12</f>
        <v>สำลี ชัยศิรินทร์</v>
      </c>
      <c r="AC51" s="350"/>
      <c r="AD51" s="350"/>
      <c r="AE51" s="350"/>
      <c r="AF51" s="350"/>
      <c r="AG51" s="350"/>
      <c r="AH51" s="350"/>
      <c r="AI51" s="350"/>
      <c r="AJ51" s="350"/>
      <c r="AK51" s="350"/>
      <c r="AL51" s="350"/>
      <c r="AM51" s="268" t="s">
        <v>85</v>
      </c>
      <c r="AN51" s="268"/>
      <c r="AO51" s="268"/>
      <c r="AP51" s="268"/>
      <c r="AQ51" s="268"/>
      <c r="AR51" s="268"/>
      <c r="AS51" s="268"/>
      <c r="AT51" s="63"/>
    </row>
    <row r="52" spans="3:46" ht="10.15" customHeight="1">
      <c r="C52" s="56"/>
      <c r="AT52" s="57"/>
    </row>
    <row r="53" spans="3:46" ht="25.15" customHeight="1">
      <c r="C53" s="320" t="s">
        <v>26</v>
      </c>
      <c r="D53" s="321"/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  <c r="AL53" s="321"/>
      <c r="AM53" s="321"/>
      <c r="AN53" s="321"/>
      <c r="AO53" s="321"/>
      <c r="AP53" s="321"/>
      <c r="AQ53" s="321"/>
      <c r="AR53" s="321"/>
      <c r="AS53" s="321"/>
      <c r="AT53" s="322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>P</v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373" t="s">
        <v>206</v>
      </c>
      <c r="AD65" s="361"/>
      <c r="AE65" s="361"/>
      <c r="AF65" s="361"/>
      <c r="AG65" s="361"/>
      <c r="AH65" s="256" t="s">
        <v>64</v>
      </c>
      <c r="AI65" s="256"/>
      <c r="AJ65" s="385" t="str">
        <f ca="1">IF(AL63="P",L22,"")</f>
        <v/>
      </c>
      <c r="AK65" s="385"/>
      <c r="AL65" s="385"/>
      <c r="AM65" s="385"/>
      <c r="AN65" s="385"/>
      <c r="AO65" s="385"/>
      <c r="AP65" s="385"/>
      <c r="AQ65" s="385"/>
      <c r="AR65" s="385"/>
      <c r="AS65" s="385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56" t="s">
        <v>64</v>
      </c>
      <c r="F67" s="256"/>
      <c r="G67" s="257" t="str">
        <f ca="1">IF($D$63="P",$L$16,"")</f>
        <v/>
      </c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C67" s="80"/>
      <c r="AD67" s="54" t="s">
        <v>75</v>
      </c>
      <c r="AE67" s="385" t="str">
        <f ca="1">$L$23</f>
        <v>ดนุพล ฤทธิ์นอก</v>
      </c>
      <c r="AF67" s="385"/>
      <c r="AG67" s="385"/>
      <c r="AH67" s="385"/>
      <c r="AI67" s="385"/>
      <c r="AJ67" s="385"/>
      <c r="AK67" s="385"/>
      <c r="AL67" s="385"/>
      <c r="AM67" s="385"/>
      <c r="AN67" s="385"/>
      <c r="AO67" s="385"/>
      <c r="AP67" s="385"/>
      <c r="AQ67" s="385"/>
      <c r="AR67" s="385"/>
      <c r="AS67" s="385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4"/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4"/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56" t="s">
        <v>64</v>
      </c>
      <c r="F75" s="256"/>
      <c r="G75" s="318" t="str">
        <f ca="1">IF($D$71="P",$L$20,"")</f>
        <v/>
      </c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98"/>
      <c r="AC75" s="80"/>
      <c r="AD75" s="54" t="s">
        <v>79</v>
      </c>
      <c r="AE75" s="314"/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16" t="str">
        <f ca="1">"      "&amp;$L$14</f>
        <v xml:space="preserve">      ทำการจัดเก็บสาย</v>
      </c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16"/>
      <c r="AL78" s="316"/>
      <c r="AM78" s="316"/>
      <c r="AN78" s="316"/>
      <c r="AO78" s="316"/>
      <c r="AP78" s="316"/>
      <c r="AQ78" s="316"/>
      <c r="AR78" s="316"/>
      <c r="AS78" s="316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17"/>
      <c r="E80" s="317"/>
      <c r="F80" s="317"/>
      <c r="G80" s="317"/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  <c r="S80" s="317"/>
      <c r="T80" s="317"/>
      <c r="U80" s="317"/>
      <c r="V80" s="317"/>
      <c r="W80" s="317"/>
      <c r="X80" s="317"/>
      <c r="Y80" s="317"/>
      <c r="Z80" s="317"/>
      <c r="AA80" s="317"/>
      <c r="AB80" s="317"/>
      <c r="AC80" s="317"/>
      <c r="AD80" s="317"/>
      <c r="AE80" s="317"/>
      <c r="AF80" s="317"/>
      <c r="AG80" s="317"/>
      <c r="AH80" s="317"/>
      <c r="AI80" s="317"/>
      <c r="AJ80" s="317"/>
      <c r="AK80" s="317"/>
      <c r="AL80" s="317"/>
      <c r="AM80" s="317"/>
      <c r="AN80" s="317"/>
      <c r="AO80" s="317"/>
      <c r="AP80" s="317"/>
      <c r="AQ80" s="317"/>
      <c r="AR80" s="317"/>
      <c r="AS80" s="317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267" t="s">
        <v>83</v>
      </c>
      <c r="E82" s="267"/>
      <c r="F82" s="267"/>
      <c r="G82" s="315"/>
      <c r="H82" s="315"/>
      <c r="I82" s="315"/>
      <c r="J82" s="315"/>
      <c r="K82" s="315"/>
      <c r="L82" s="315"/>
      <c r="M82" s="315"/>
      <c r="N82" s="315"/>
      <c r="O82" s="315"/>
      <c r="P82" s="315"/>
      <c r="Q82" s="315"/>
      <c r="R82" s="268" t="s">
        <v>82</v>
      </c>
      <c r="S82" s="268"/>
      <c r="T82" s="268"/>
      <c r="U82" s="268"/>
      <c r="Y82" s="267" t="s">
        <v>84</v>
      </c>
      <c r="Z82" s="267"/>
      <c r="AA82" s="267"/>
      <c r="AB82" s="315"/>
      <c r="AC82" s="315"/>
      <c r="AD82" s="315"/>
      <c r="AE82" s="315"/>
      <c r="AF82" s="315"/>
      <c r="AG82" s="315"/>
      <c r="AH82" s="315"/>
      <c r="AI82" s="315"/>
      <c r="AJ82" s="315"/>
      <c r="AK82" s="315"/>
      <c r="AL82" s="315"/>
      <c r="AM82" s="268" t="s">
        <v>81</v>
      </c>
      <c r="AN82" s="268"/>
      <c r="AO82" s="268"/>
      <c r="AP82" s="268"/>
      <c r="AQ82" s="268"/>
      <c r="AR82" s="268"/>
      <c r="AS82" s="268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38" t="s">
        <v>260</v>
      </c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40"/>
      <c r="AT84" s="59"/>
    </row>
    <row r="85" spans="3:46" s="60" customFormat="1" ht="18" customHeight="1">
      <c r="C85" s="86"/>
      <c r="D85" s="265" t="s">
        <v>49</v>
      </c>
      <c r="E85" s="266"/>
      <c r="F85" s="265" t="s">
        <v>259</v>
      </c>
      <c r="G85" s="266"/>
      <c r="H85" s="266"/>
      <c r="I85" s="266"/>
      <c r="J85" s="266"/>
      <c r="K85" s="266"/>
      <c r="L85" s="266"/>
      <c r="M85" s="266"/>
      <c r="N85" s="266"/>
      <c r="O85" s="266"/>
      <c r="P85" s="266"/>
      <c r="Q85" s="266"/>
      <c r="R85" s="266"/>
      <c r="S85" s="266"/>
      <c r="T85" s="266"/>
      <c r="U85" s="266"/>
      <c r="V85" s="266"/>
      <c r="W85" s="266"/>
      <c r="X85" s="266"/>
      <c r="Y85" s="266"/>
      <c r="Z85" s="266"/>
      <c r="AA85" s="266"/>
      <c r="AB85" s="266"/>
      <c r="AC85" s="319"/>
      <c r="AD85" s="265" t="s">
        <v>46</v>
      </c>
      <c r="AE85" s="266"/>
      <c r="AF85" s="266"/>
      <c r="AG85" s="319"/>
      <c r="AH85" s="265" t="s">
        <v>7</v>
      </c>
      <c r="AI85" s="266"/>
      <c r="AJ85" s="266"/>
      <c r="AK85" s="266"/>
      <c r="AL85" s="266"/>
      <c r="AM85" s="266"/>
      <c r="AN85" s="266"/>
      <c r="AO85" s="266"/>
      <c r="AP85" s="266"/>
      <c r="AQ85" s="266"/>
      <c r="AR85" s="266"/>
      <c r="AS85" s="319"/>
      <c r="AT85" s="87"/>
    </row>
    <row r="86" spans="3:46" s="54" customFormat="1" ht="18" customHeight="1">
      <c r="C86" s="58"/>
      <c r="D86" s="272" t="s">
        <v>50</v>
      </c>
      <c r="E86" s="273"/>
      <c r="F86" s="272" t="s">
        <v>258</v>
      </c>
      <c r="G86" s="273"/>
      <c r="H86" s="273"/>
      <c r="I86" s="273"/>
      <c r="J86" s="273"/>
      <c r="K86" s="273"/>
      <c r="L86" s="273"/>
      <c r="M86" s="273"/>
      <c r="N86" s="273"/>
      <c r="O86" s="273"/>
      <c r="P86" s="273"/>
      <c r="Q86" s="273"/>
      <c r="R86" s="273"/>
      <c r="S86" s="273"/>
      <c r="T86" s="273"/>
      <c r="U86" s="273"/>
      <c r="V86" s="273"/>
      <c r="W86" s="273"/>
      <c r="X86" s="273"/>
      <c r="Y86" s="273"/>
      <c r="Z86" s="273"/>
      <c r="AA86" s="273"/>
      <c r="AB86" s="273"/>
      <c r="AC86" s="274"/>
      <c r="AD86" s="272" t="s">
        <v>47</v>
      </c>
      <c r="AE86" s="273"/>
      <c r="AF86" s="273"/>
      <c r="AG86" s="274"/>
      <c r="AH86" s="272" t="s">
        <v>48</v>
      </c>
      <c r="AI86" s="273"/>
      <c r="AJ86" s="273"/>
      <c r="AK86" s="273"/>
      <c r="AL86" s="273"/>
      <c r="AM86" s="273"/>
      <c r="AN86" s="273"/>
      <c r="AO86" s="273"/>
      <c r="AP86" s="273"/>
      <c r="AQ86" s="273"/>
      <c r="AR86" s="273"/>
      <c r="AS86" s="274"/>
      <c r="AT86" s="59"/>
    </row>
    <row r="87" spans="3:46" s="61" customFormat="1" ht="24" customHeight="1">
      <c r="C87" s="62"/>
      <c r="D87" s="305" t="str">
        <f ca="1">IF(F87="-","",IF(F87=0,"",1))</f>
        <v/>
      </c>
      <c r="E87" s="307"/>
      <c r="F87" s="311" t="str">
        <f ca="1">$L$17</f>
        <v>-</v>
      </c>
      <c r="G87" s="312"/>
      <c r="H87" s="312"/>
      <c r="I87" s="312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3"/>
      <c r="AD87" s="305" t="str">
        <f ca="1">$L$18</f>
        <v>-</v>
      </c>
      <c r="AE87" s="306"/>
      <c r="AF87" s="306"/>
      <c r="AG87" s="307"/>
      <c r="AH87" s="311"/>
      <c r="AI87" s="312"/>
      <c r="AJ87" s="312"/>
      <c r="AK87" s="312"/>
      <c r="AL87" s="312"/>
      <c r="AM87" s="312"/>
      <c r="AN87" s="312"/>
      <c r="AO87" s="312"/>
      <c r="AP87" s="312"/>
      <c r="AQ87" s="312"/>
      <c r="AR87" s="312"/>
      <c r="AS87" s="313"/>
      <c r="AT87" s="63"/>
    </row>
    <row r="88" spans="3:46" s="54" customFormat="1" ht="24" customHeight="1">
      <c r="C88" s="58"/>
      <c r="D88" s="308"/>
      <c r="E88" s="310"/>
      <c r="F88" s="308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  <c r="W88" s="309"/>
      <c r="X88" s="309"/>
      <c r="Y88" s="309"/>
      <c r="Z88" s="309"/>
      <c r="AA88" s="309"/>
      <c r="AB88" s="309"/>
      <c r="AC88" s="310"/>
      <c r="AD88" s="308"/>
      <c r="AE88" s="309"/>
      <c r="AF88" s="309"/>
      <c r="AG88" s="310"/>
      <c r="AH88" s="323"/>
      <c r="AI88" s="324"/>
      <c r="AJ88" s="324"/>
      <c r="AK88" s="324"/>
      <c r="AL88" s="324"/>
      <c r="AM88" s="324"/>
      <c r="AN88" s="324"/>
      <c r="AO88" s="324"/>
      <c r="AP88" s="324"/>
      <c r="AQ88" s="324"/>
      <c r="AR88" s="324"/>
      <c r="AS88" s="325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08"/>
      <c r="E90" s="310"/>
      <c r="F90" s="308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  <c r="W90" s="309"/>
      <c r="X90" s="309"/>
      <c r="Y90" s="309"/>
      <c r="Z90" s="309"/>
      <c r="AA90" s="309"/>
      <c r="AB90" s="309"/>
      <c r="AC90" s="310"/>
      <c r="AD90" s="308"/>
      <c r="AE90" s="309"/>
      <c r="AF90" s="309"/>
      <c r="AG90" s="310"/>
      <c r="AH90" s="323"/>
      <c r="AI90" s="324"/>
      <c r="AJ90" s="324"/>
      <c r="AK90" s="324"/>
      <c r="AL90" s="324"/>
      <c r="AM90" s="324"/>
      <c r="AN90" s="324"/>
      <c r="AO90" s="324"/>
      <c r="AP90" s="324"/>
      <c r="AQ90" s="324"/>
      <c r="AR90" s="324"/>
      <c r="AS90" s="325"/>
      <c r="AT90" s="59"/>
    </row>
    <row r="91" spans="3:46" s="54" customFormat="1" ht="24" customHeight="1">
      <c r="C91" s="58"/>
      <c r="D91" s="270"/>
      <c r="E91" s="271"/>
      <c r="F91" s="270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63"/>
      <c r="Y91" s="363"/>
      <c r="Z91" s="363"/>
      <c r="AA91" s="363"/>
      <c r="AB91" s="363"/>
      <c r="AC91" s="271"/>
      <c r="AD91" s="270"/>
      <c r="AE91" s="363"/>
      <c r="AF91" s="363"/>
      <c r="AG91" s="271"/>
      <c r="AH91" s="389"/>
      <c r="AI91" s="390"/>
      <c r="AJ91" s="390"/>
      <c r="AK91" s="390"/>
      <c r="AL91" s="390"/>
      <c r="AM91" s="390"/>
      <c r="AN91" s="390"/>
      <c r="AO91" s="390"/>
      <c r="AP91" s="390"/>
      <c r="AQ91" s="390"/>
      <c r="AR91" s="390"/>
      <c r="AS91" s="391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378" t="s">
        <v>54</v>
      </c>
      <c r="Z93" s="379"/>
      <c r="AA93" s="379"/>
      <c r="AB93" s="379"/>
      <c r="AC93" s="379"/>
      <c r="AD93" s="379"/>
      <c r="AE93" s="379"/>
      <c r="AF93" s="379"/>
      <c r="AG93" s="379"/>
      <c r="AH93" s="379"/>
      <c r="AI93" s="379"/>
      <c r="AJ93" s="379"/>
      <c r="AK93" s="379"/>
      <c r="AL93" s="379"/>
      <c r="AM93" s="379"/>
      <c r="AN93" s="379"/>
      <c r="AO93" s="379"/>
      <c r="AP93" s="379"/>
      <c r="AQ93" s="379"/>
      <c r="AR93" s="379"/>
      <c r="AS93" s="380"/>
      <c r="AT93" s="59"/>
    </row>
    <row r="94" spans="3:46" ht="4.9000000000000004" customHeight="1">
      <c r="C94" s="56"/>
      <c r="S94" s="54"/>
      <c r="Y94" s="272"/>
      <c r="Z94" s="273"/>
      <c r="AA94" s="273"/>
      <c r="AB94" s="273"/>
      <c r="AC94" s="273"/>
      <c r="AD94" s="273"/>
      <c r="AE94" s="273"/>
      <c r="AF94" s="273"/>
      <c r="AG94" s="273"/>
      <c r="AH94" s="273"/>
      <c r="AI94" s="273"/>
      <c r="AJ94" s="273"/>
      <c r="AK94" s="273"/>
      <c r="AL94" s="273"/>
      <c r="AM94" s="273"/>
      <c r="AN94" s="273"/>
      <c r="AO94" s="273"/>
      <c r="AP94" s="273"/>
      <c r="AQ94" s="273"/>
      <c r="AR94" s="273"/>
      <c r="AS94" s="274"/>
      <c r="AT94" s="57"/>
    </row>
    <row r="95" spans="3:46" ht="19.899999999999999" customHeight="1">
      <c r="C95" s="56"/>
      <c r="D95" s="111"/>
      <c r="E95" s="54" t="s">
        <v>51</v>
      </c>
      <c r="S95" s="54"/>
      <c r="Y95" s="263" t="s">
        <v>61</v>
      </c>
      <c r="Z95" s="263"/>
      <c r="AA95" s="263"/>
      <c r="AB95" s="263"/>
      <c r="AC95" s="263"/>
      <c r="AD95" s="395" t="s">
        <v>55</v>
      </c>
      <c r="AE95" s="395"/>
      <c r="AF95" s="395"/>
      <c r="AG95" s="395"/>
      <c r="AH95" s="395"/>
      <c r="AI95" s="395"/>
      <c r="AJ95" s="395"/>
      <c r="AK95" s="395"/>
      <c r="AL95" s="265" t="s">
        <v>56</v>
      </c>
      <c r="AM95" s="266"/>
      <c r="AN95" s="266"/>
      <c r="AO95" s="266"/>
      <c r="AP95" s="266"/>
      <c r="AQ95" s="266"/>
      <c r="AR95" s="266"/>
      <c r="AS95" s="319"/>
      <c r="AT95" s="57"/>
    </row>
    <row r="96" spans="3:46" ht="19.899999999999999" customHeight="1">
      <c r="C96" s="56"/>
      <c r="D96" s="88"/>
      <c r="E96" s="54" t="s">
        <v>53</v>
      </c>
      <c r="S96" s="54"/>
      <c r="Y96" s="263"/>
      <c r="Z96" s="263"/>
      <c r="AA96" s="263"/>
      <c r="AB96" s="263"/>
      <c r="AC96" s="263"/>
      <c r="AD96" s="258" t="s">
        <v>58</v>
      </c>
      <c r="AE96" s="258"/>
      <c r="AF96" s="258"/>
      <c r="AG96" s="258"/>
      <c r="AH96" s="258"/>
      <c r="AI96" s="258"/>
      <c r="AJ96" s="258"/>
      <c r="AK96" s="258"/>
      <c r="AL96" s="392" t="s">
        <v>57</v>
      </c>
      <c r="AM96" s="393"/>
      <c r="AN96" s="393"/>
      <c r="AO96" s="393"/>
      <c r="AP96" s="393"/>
      <c r="AQ96" s="393"/>
      <c r="AR96" s="393"/>
      <c r="AS96" s="394"/>
      <c r="AT96" s="57"/>
    </row>
    <row r="97" spans="3:46" ht="19.899999999999999" customHeight="1">
      <c r="C97" s="56"/>
      <c r="D97" s="111"/>
      <c r="E97" s="54" t="s">
        <v>70</v>
      </c>
      <c r="Y97" s="263"/>
      <c r="Z97" s="263"/>
      <c r="AA97" s="263"/>
      <c r="AB97" s="263"/>
      <c r="AC97" s="263"/>
      <c r="AD97" s="269" t="s">
        <v>60</v>
      </c>
      <c r="AE97" s="269"/>
      <c r="AF97" s="269" t="s">
        <v>59</v>
      </c>
      <c r="AG97" s="269"/>
      <c r="AH97" s="269" t="s">
        <v>7</v>
      </c>
      <c r="AI97" s="269"/>
      <c r="AJ97" s="269"/>
      <c r="AK97" s="269"/>
      <c r="AL97" s="269" t="s">
        <v>60</v>
      </c>
      <c r="AM97" s="269"/>
      <c r="AN97" s="269" t="s">
        <v>59</v>
      </c>
      <c r="AO97" s="269"/>
      <c r="AP97" s="352" t="s">
        <v>7</v>
      </c>
      <c r="AQ97" s="353"/>
      <c r="AR97" s="353"/>
      <c r="AS97" s="354"/>
      <c r="AT97" s="57"/>
    </row>
    <row r="98" spans="3:46" ht="4.9000000000000004" customHeight="1">
      <c r="C98" s="56"/>
      <c r="D98" s="96"/>
      <c r="E98" s="54"/>
      <c r="Y98" s="277"/>
      <c r="Z98" s="278"/>
      <c r="AA98" s="278"/>
      <c r="AB98" s="278"/>
      <c r="AC98" s="279"/>
      <c r="AD98" s="259"/>
      <c r="AE98" s="260"/>
      <c r="AF98" s="259"/>
      <c r="AG98" s="260"/>
      <c r="AH98" s="259"/>
      <c r="AI98" s="275"/>
      <c r="AJ98" s="275"/>
      <c r="AK98" s="260"/>
      <c r="AL98" s="259"/>
      <c r="AM98" s="260"/>
      <c r="AN98" s="259"/>
      <c r="AO98" s="260"/>
      <c r="AP98" s="259"/>
      <c r="AQ98" s="275"/>
      <c r="AR98" s="275"/>
      <c r="AS98" s="260"/>
      <c r="AT98" s="57"/>
    </row>
    <row r="99" spans="3:46" ht="19.899999999999999" customHeight="1">
      <c r="C99" s="56"/>
      <c r="D99" s="111"/>
      <c r="E99" s="54" t="s">
        <v>71</v>
      </c>
      <c r="Y99" s="280"/>
      <c r="Z99" s="281"/>
      <c r="AA99" s="281"/>
      <c r="AB99" s="281"/>
      <c r="AC99" s="282"/>
      <c r="AD99" s="261"/>
      <c r="AE99" s="262"/>
      <c r="AF99" s="261"/>
      <c r="AG99" s="262"/>
      <c r="AH99" s="261"/>
      <c r="AI99" s="276"/>
      <c r="AJ99" s="276"/>
      <c r="AK99" s="262"/>
      <c r="AL99" s="261"/>
      <c r="AM99" s="262"/>
      <c r="AN99" s="261"/>
      <c r="AO99" s="262"/>
      <c r="AP99" s="261"/>
      <c r="AQ99" s="276"/>
      <c r="AR99" s="276"/>
      <c r="AS99" s="262"/>
      <c r="AT99" s="57"/>
    </row>
    <row r="100" spans="3:46" ht="19.899999999999999" customHeight="1">
      <c r="C100" s="56"/>
      <c r="D100" s="88"/>
      <c r="E100" s="256" t="s">
        <v>64</v>
      </c>
      <c r="F100" s="256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Y100" s="264"/>
      <c r="Z100" s="264"/>
      <c r="AA100" s="264"/>
      <c r="AB100" s="264"/>
      <c r="AC100" s="264"/>
      <c r="AD100" s="264"/>
      <c r="AE100" s="264"/>
      <c r="AF100" s="264"/>
      <c r="AG100" s="264"/>
      <c r="AH100" s="264"/>
      <c r="AI100" s="264"/>
      <c r="AJ100" s="264"/>
      <c r="AK100" s="264"/>
      <c r="AL100" s="264"/>
      <c r="AM100" s="264"/>
      <c r="AN100" s="264"/>
      <c r="AO100" s="264"/>
      <c r="AP100" s="382"/>
      <c r="AQ100" s="383"/>
      <c r="AR100" s="383"/>
      <c r="AS100" s="384"/>
      <c r="AT100" s="57"/>
    </row>
    <row r="101" spans="3:46" ht="19.899999999999999" customHeight="1">
      <c r="C101" s="56"/>
      <c r="D101" s="112"/>
      <c r="E101" s="54" t="s">
        <v>52</v>
      </c>
      <c r="Y101" s="264"/>
      <c r="Z101" s="264"/>
      <c r="AA101" s="264"/>
      <c r="AB101" s="264"/>
      <c r="AC101" s="264"/>
      <c r="AD101" s="264"/>
      <c r="AE101" s="264"/>
      <c r="AF101" s="264"/>
      <c r="AG101" s="264"/>
      <c r="AH101" s="264"/>
      <c r="AI101" s="264"/>
      <c r="AJ101" s="264"/>
      <c r="AK101" s="264"/>
      <c r="AL101" s="264"/>
      <c r="AM101" s="264"/>
      <c r="AN101" s="264"/>
      <c r="AO101" s="264"/>
      <c r="AP101" s="382"/>
      <c r="AQ101" s="383"/>
      <c r="AR101" s="383"/>
      <c r="AS101" s="384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64"/>
      <c r="Z102" s="264"/>
      <c r="AA102" s="264"/>
      <c r="AB102" s="264"/>
      <c r="AC102" s="264"/>
      <c r="AD102" s="264"/>
      <c r="AE102" s="264"/>
      <c r="AF102" s="264"/>
      <c r="AG102" s="264"/>
      <c r="AH102" s="264"/>
      <c r="AI102" s="264"/>
      <c r="AJ102" s="264"/>
      <c r="AK102" s="264"/>
      <c r="AL102" s="264"/>
      <c r="AM102" s="264"/>
      <c r="AN102" s="264"/>
      <c r="AO102" s="264"/>
      <c r="AP102" s="382"/>
      <c r="AQ102" s="383"/>
      <c r="AR102" s="383"/>
      <c r="AS102" s="384"/>
      <c r="AT102" s="57"/>
    </row>
    <row r="103" spans="3:46" s="54" customFormat="1" ht="19.899999999999999" customHeight="1">
      <c r="C103" s="58"/>
      <c r="E103" s="256" t="s">
        <v>64</v>
      </c>
      <c r="F103" s="256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6"/>
      <c r="AQ103" s="387"/>
      <c r="AR103" s="387"/>
      <c r="AS103" s="388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352" t="s">
        <v>94</v>
      </c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4"/>
      <c r="T105" s="352" t="s">
        <v>37</v>
      </c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354"/>
      <c r="AJ105" s="352" t="s">
        <v>96</v>
      </c>
      <c r="AK105" s="353"/>
      <c r="AL105" s="353"/>
      <c r="AM105" s="353"/>
      <c r="AN105" s="353"/>
      <c r="AO105" s="353"/>
      <c r="AP105" s="353"/>
      <c r="AQ105" s="353"/>
      <c r="AR105" s="353"/>
      <c r="AS105" s="354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373" t="s">
        <v>86</v>
      </c>
      <c r="E107" s="361"/>
      <c r="F107" s="361"/>
      <c r="G107" s="361"/>
      <c r="H107" s="362" t="str">
        <f ca="1">$L$24</f>
        <v>27/05/2026</v>
      </c>
      <c r="I107" s="356"/>
      <c r="J107" s="356"/>
      <c r="K107" s="356"/>
      <c r="L107" s="361" t="s">
        <v>88</v>
      </c>
      <c r="M107" s="361"/>
      <c r="N107" s="355">
        <f ca="1">$L$25</f>
        <v>0.22916666666666666</v>
      </c>
      <c r="O107" s="356"/>
      <c r="P107" s="356"/>
      <c r="Q107" s="356"/>
      <c r="R107" s="356"/>
      <c r="T107" s="80"/>
      <c r="U107" s="54" t="s">
        <v>38</v>
      </c>
      <c r="AI107" s="81"/>
      <c r="AJ107" s="80"/>
      <c r="AM107" s="84" t="s">
        <v>41</v>
      </c>
      <c r="AN107" s="359" t="s">
        <v>43</v>
      </c>
      <c r="AO107" s="360">
        <v>100</v>
      </c>
      <c r="AP107" s="360"/>
      <c r="AS107" s="81"/>
      <c r="AT107" s="59"/>
    </row>
    <row r="108" spans="3:46" s="54" customFormat="1" ht="22.15" customHeight="1" thickTop="1" thickBot="1">
      <c r="C108" s="58"/>
      <c r="D108" s="373" t="s">
        <v>87</v>
      </c>
      <c r="E108" s="361"/>
      <c r="F108" s="361"/>
      <c r="G108" s="361"/>
      <c r="H108" s="362" t="str">
        <f ca="1">$L$26</f>
        <v>27/05/2026</v>
      </c>
      <c r="I108" s="356"/>
      <c r="J108" s="356"/>
      <c r="K108" s="356"/>
      <c r="L108" s="361" t="s">
        <v>88</v>
      </c>
      <c r="M108" s="361"/>
      <c r="N108" s="357">
        <f ca="1">$L$27</f>
        <v>0.25</v>
      </c>
      <c r="O108" s="358"/>
      <c r="P108" s="358"/>
      <c r="Q108" s="356"/>
      <c r="R108" s="356"/>
      <c r="T108" s="80"/>
      <c r="U108" s="54" t="s">
        <v>39</v>
      </c>
      <c r="AI108" s="81"/>
      <c r="AJ108" s="80"/>
      <c r="AM108" s="71" t="s">
        <v>42</v>
      </c>
      <c r="AN108" s="359"/>
      <c r="AO108" s="360"/>
      <c r="AP108" s="360"/>
      <c r="AS108" s="81"/>
      <c r="AT108" s="59"/>
    </row>
    <row r="109" spans="3:46" s="54" customFormat="1" ht="22.15" customHeight="1" thickTop="1" thickBot="1">
      <c r="C109" s="58"/>
      <c r="D109" s="373" t="s">
        <v>89</v>
      </c>
      <c r="E109" s="361"/>
      <c r="F109" s="361"/>
      <c r="G109" s="361"/>
      <c r="H109" s="361"/>
      <c r="I109" s="361"/>
      <c r="J109" s="361"/>
      <c r="K109" s="356">
        <f ca="1">ConvertMinute</f>
        <v>30</v>
      </c>
      <c r="L109" s="356"/>
      <c r="M109" s="356"/>
      <c r="N109" s="356"/>
      <c r="O109" s="356"/>
      <c r="P109" s="356"/>
      <c r="Q109" s="360" t="s">
        <v>95</v>
      </c>
      <c r="R109" s="360"/>
      <c r="S109" s="374"/>
      <c r="T109" s="80"/>
      <c r="U109" s="54" t="s">
        <v>40</v>
      </c>
      <c r="AI109" s="81"/>
      <c r="AJ109" s="80"/>
      <c r="AL109" s="85" t="s">
        <v>44</v>
      </c>
      <c r="AM109" s="377">
        <f ca="1">IF(K109=0,"",K109/1440)</f>
        <v>2.0833333333333332E-2</v>
      </c>
      <c r="AN109" s="377"/>
      <c r="AO109" s="377"/>
      <c r="AP109" s="377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4" t="s">
        <v>97</v>
      </c>
      <c r="U111" s="365"/>
      <c r="V111" s="365"/>
      <c r="W111" s="365"/>
      <c r="X111" s="365"/>
      <c r="Y111" s="365"/>
      <c r="Z111" s="365"/>
      <c r="AA111" s="365"/>
      <c r="AB111" s="365"/>
      <c r="AC111" s="365"/>
      <c r="AD111" s="365"/>
      <c r="AE111" s="365"/>
      <c r="AF111" s="365"/>
      <c r="AG111" s="365"/>
      <c r="AH111" s="365"/>
      <c r="AI111" s="365"/>
      <c r="AJ111" s="365"/>
      <c r="AK111" s="365"/>
      <c r="AL111" s="365"/>
      <c r="AM111" s="365"/>
      <c r="AN111" s="365"/>
      <c r="AO111" s="365"/>
      <c r="AP111" s="365"/>
      <c r="AQ111" s="365"/>
      <c r="AR111" s="365"/>
      <c r="AS111" s="366"/>
      <c r="AT111" s="59"/>
    </row>
    <row r="112" spans="3:46" s="54" customFormat="1" ht="25.15" customHeight="1" thickTop="1" thickBot="1">
      <c r="C112" s="58"/>
      <c r="D112" s="373" t="s">
        <v>90</v>
      </c>
      <c r="E112" s="361"/>
      <c r="F112" s="361"/>
      <c r="G112" s="375"/>
      <c r="H112" s="375"/>
      <c r="I112" s="375"/>
      <c r="J112" s="375"/>
      <c r="K112" s="375"/>
      <c r="L112" s="375"/>
      <c r="M112" s="375"/>
      <c r="N112" s="375"/>
      <c r="O112" s="375"/>
      <c r="P112" s="360" t="s">
        <v>92</v>
      </c>
      <c r="Q112" s="360"/>
      <c r="R112" s="360"/>
      <c r="S112" s="374"/>
      <c r="T112" s="367"/>
      <c r="U112" s="368"/>
      <c r="V112" s="368"/>
      <c r="W112" s="368"/>
      <c r="X112" s="368"/>
      <c r="Y112" s="368"/>
      <c r="Z112" s="368"/>
      <c r="AA112" s="368"/>
      <c r="AB112" s="368"/>
      <c r="AC112" s="368"/>
      <c r="AD112" s="368"/>
      <c r="AE112" s="368"/>
      <c r="AF112" s="368"/>
      <c r="AG112" s="368"/>
      <c r="AH112" s="368"/>
      <c r="AI112" s="368"/>
      <c r="AJ112" s="368"/>
      <c r="AK112" s="368"/>
      <c r="AL112" s="368"/>
      <c r="AM112" s="368"/>
      <c r="AN112" s="368"/>
      <c r="AO112" s="368"/>
      <c r="AP112" s="368"/>
      <c r="AQ112" s="368"/>
      <c r="AR112" s="368"/>
      <c r="AS112" s="369"/>
      <c r="AT112" s="59"/>
    </row>
    <row r="113" spans="3:46" s="54" customFormat="1" ht="25.15" customHeight="1" thickTop="1" thickBot="1">
      <c r="C113" s="58"/>
      <c r="D113" s="373" t="s">
        <v>91</v>
      </c>
      <c r="E113" s="361"/>
      <c r="F113" s="361"/>
      <c r="G113" s="376"/>
      <c r="H113" s="375"/>
      <c r="I113" s="375"/>
      <c r="J113" s="375"/>
      <c r="K113" s="375"/>
      <c r="L113" s="375"/>
      <c r="M113" s="375"/>
      <c r="N113" s="375"/>
      <c r="O113" s="375"/>
      <c r="T113" s="367"/>
      <c r="U113" s="368"/>
      <c r="V113" s="368"/>
      <c r="W113" s="368"/>
      <c r="X113" s="368"/>
      <c r="Y113" s="368"/>
      <c r="Z113" s="368"/>
      <c r="AA113" s="368"/>
      <c r="AB113" s="368"/>
      <c r="AC113" s="368"/>
      <c r="AD113" s="368"/>
      <c r="AE113" s="368"/>
      <c r="AF113" s="368"/>
      <c r="AG113" s="368"/>
      <c r="AH113" s="368"/>
      <c r="AI113" s="368"/>
      <c r="AJ113" s="368"/>
      <c r="AK113" s="368"/>
      <c r="AL113" s="368"/>
      <c r="AM113" s="368"/>
      <c r="AN113" s="368"/>
      <c r="AO113" s="368"/>
      <c r="AP113" s="368"/>
      <c r="AQ113" s="368"/>
      <c r="AR113" s="368"/>
      <c r="AS113" s="369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0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2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2.0833333333333343E-2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30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30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4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396" t="s">
        <v>294</v>
      </c>
      <c r="F3" s="397"/>
      <c r="G3" s="397"/>
      <c r="H3" s="397"/>
      <c r="I3" s="398"/>
      <c r="J3" s="159" t="s">
        <v>295</v>
      </c>
      <c r="K3" s="160" t="s">
        <v>296</v>
      </c>
    </row>
    <row r="4" spans="3:11">
      <c r="C4" s="161"/>
      <c r="D4" s="162"/>
      <c r="E4" s="399"/>
      <c r="F4" s="400"/>
      <c r="G4" s="400"/>
      <c r="H4" s="400"/>
      <c r="I4" s="401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2" t="s">
        <v>299</v>
      </c>
      <c r="D6" s="403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4" t="s">
        <v>306</v>
      </c>
      <c r="D7" s="405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8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R18" sqref="R18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808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139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  <c r="M17" s="143" t="s">
        <v>818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2026-05-23T01:35:30Z</cp:lastPrinted>
  <dcterms:created xsi:type="dcterms:W3CDTF">2006-09-16T00:00:00Z</dcterms:created>
  <dcterms:modified xsi:type="dcterms:W3CDTF">2026-08-08T12:52:48Z</dcterms:modified>
</cp:coreProperties>
</file>