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026" codeName="{28389E77-7640-9E18-AD5C-E98E2F4A8B83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V:\0Engineering\ใบแจ้งซ่อม MAINTENANCE RECORD - 2026\ใบแจ้งซ่อมแยกแผนก 2026\"/>
    </mc:Choice>
  </mc:AlternateContent>
  <xr:revisionPtr revIDLastSave="0" documentId="13_ncr:1_{90645FCB-F978-4C4F-ACEE-099974106DCC}" xr6:coauthVersionLast="47" xr6:coauthVersionMax="47" xr10:uidLastSave="{00000000-0000-0000-0000-000000000000}"/>
  <bookViews>
    <workbookView xWindow="-120" yWindow="-120" windowWidth="29040" windowHeight="15720" tabRatio="508" xr2:uid="{00000000-000D-0000-FFFF-FFFF00000000}"/>
  </bookViews>
  <sheets>
    <sheet name="F-EN-12  REV.05" sheetId="1" r:id="rId1"/>
    <sheet name="JOB ORDER" sheetId="2" r:id="rId2"/>
    <sheet name="FlowChart" sheetId="3" r:id="rId3"/>
    <sheet name="DATA" sheetId="4" r:id="rId4"/>
  </sheets>
  <definedNames>
    <definedName name="_xlnm._FilterDatabase" localSheetId="0" hidden="1">'F-EN-12  REV.05'!$F$10:$AE$362</definedName>
    <definedName name="ContaminateCheck">OFFSET(DATA!$J$2,0,0,COUNTA(DATA!$J:$J)-1)</definedName>
    <definedName name="ConvertMinute">'JOB ORDER'!$I$122</definedName>
    <definedName name="DataRecord">OFFSET('F-EN-12  REV.05'!$E$11,0,0,COUNTA('F-EN-12  REV.05'!$E:$E)-2,COUNTA('F-EN-12  REV.05'!$10:$10)-1)</definedName>
    <definedName name="Department">OFFSET(DATA!$A$2,0,0,COUNTA(DATA!$A:$A)-1)</definedName>
    <definedName name="JOB_NO">OFFSET('F-EN-12  REV.05'!$D$11,0,0,COUNTA('F-EN-12  REV.05'!$E:$E)-2,2)</definedName>
    <definedName name="JobDescription">OFFSET(DATA!$E$2,0,0,COUNTA(DATA!$E:$E)-1)</definedName>
    <definedName name="JobSelection">'F-EN-12  REV.05'!$J$2:$J$3</definedName>
    <definedName name="JobStatus">OFFSET(DATA!$G$2,0,0,COUNTA(DATA!$G:$G)-1)</definedName>
    <definedName name="JobType">OFFSET(DATA!$D$2,0,0,COUNTA(DATA!$D:$D)-1)</definedName>
    <definedName name="MachineCode">OFFSET(DATA!$B$2,0,0,COUNTA(DATA!$B:$B)-1)</definedName>
    <definedName name="MachineList">OFFSET(DATA!$B$2,0,0,COUNTA(DATA!$B:$B)-1,2)</definedName>
    <definedName name="MachineStatus">OFFSET(DATA!$F$2,0,0,COUNTA(DATA!$F:$F)-1)</definedName>
    <definedName name="MaintenanceTeam">OFFSET(DATA!$L$2,0,0,COUNTA(DATA!$L:$L)-1)</definedName>
    <definedName name="Note">OFFSET(DATA!$I$2,0,0,COUNTA(DATA!$I:$I)-1)</definedName>
    <definedName name="Operators">OFFSET(DATA!$K$2,0,0,COUNTA(DATA!$K:$K)-1)</definedName>
    <definedName name="_xlnm.Print_Area" localSheetId="0">'F-EN-12  REV.05'!$D$6:$AH$110</definedName>
    <definedName name="_xlnm.Print_Area" localSheetId="2">FlowChart!$B$2:$L$38</definedName>
    <definedName name="_xlnm.Print_Area" localSheetId="1">'JOB ORDER'!$B$29:$AU$116</definedName>
    <definedName name="_xlnm.Print_Titles" localSheetId="0">'F-EN-12  REV.05'!$6:$10</definedName>
    <definedName name="Requestors">OFFSET(DATA!$M$2,0,0,COUNTA(DATA!$M:$M)-1)</definedName>
    <definedName name="RootCause">OFFSET(DATA!$H$2,0,0,COUNTA(DATA!$H:$H)-1)</definedName>
    <definedName name="SectionMGR">OFFSET(DATA!$A$2,0,0,COUNTA(DATA!$A:$A)-1,2)</definedName>
    <definedName name="Z_0512FE9E_5F0E_4D02_9DC9_DC3D8B2A162E_.wvu.FilterData" localSheetId="0" hidden="1">'F-EN-12  REV.05'!$F$10:$F$310</definedName>
    <definedName name="Z_055249FF_F7C7_4B6D_8DCD_DFCCA4EAE81F_.wvu.FilterData" localSheetId="0" hidden="1">'F-EN-12  REV.05'!$F$10:$F$110</definedName>
    <definedName name="Z_057B082D_1642_4AC1_B577_59F4E570FFD4_.wvu.FilterData" localSheetId="0" hidden="1">'F-EN-12  REV.05'!$F$10:$M$310</definedName>
    <definedName name="Z_085F2103_108A_483C_AAD7_AC1049A79BF0_.wvu.FilterData" localSheetId="0" hidden="1">'F-EN-12  REV.05'!$F$10:$F$110</definedName>
    <definedName name="Z_085F2103_108A_483C_AAD7_AC1049A79BF0_.wvu.PrintArea" localSheetId="2" hidden="1">FlowChart!$B$2:$L$38</definedName>
    <definedName name="Z_085F2103_108A_483C_AAD7_AC1049A79BF0_.wvu.PrintArea" localSheetId="1" hidden="1">'JOB ORDER'!$B$29:$AU$116</definedName>
    <definedName name="Z_085F2103_108A_483C_AAD7_AC1049A79BF0_.wvu.Rows" localSheetId="1" hidden="1">'JOB ORDER'!$1:$27</definedName>
    <definedName name="Z_0A09224D_DA26_41E7_BB1B_36DEC4E7191D_.wvu.FilterData" localSheetId="0" hidden="1">'F-EN-12  REV.05'!$F$10:$F$110</definedName>
    <definedName name="Z_0FB47923_DD8D_45AF_878C_53844EB77934_.wvu.FilterData" localSheetId="0" hidden="1">'F-EN-12  REV.05'!$F$10:$F$110</definedName>
    <definedName name="Z_12A57108_64EE_4143_BE7B_0E614C9693B7_.wvu.FilterData" localSheetId="0" hidden="1">'F-EN-12  REV.05'!$D$10:$D$110</definedName>
    <definedName name="Z_12A57108_64EE_4143_BE7B_0E614C9693B7_.wvu.PrintArea" localSheetId="2" hidden="1">FlowChart!$B$2:$L$38</definedName>
    <definedName name="Z_12A57108_64EE_4143_BE7B_0E614C9693B7_.wvu.PrintArea" localSheetId="1" hidden="1">'JOB ORDER'!$B$29:$AU$116</definedName>
    <definedName name="Z_12A57108_64EE_4143_BE7B_0E614C9693B7_.wvu.Rows" localSheetId="1" hidden="1">'JOB ORDER'!$1:$27</definedName>
    <definedName name="Z_14DE6746_EFE9_4648_B824_D04A77CB20AF_.wvu.FilterData" localSheetId="0" hidden="1">'F-EN-12  REV.05'!$D$10:$D$20</definedName>
    <definedName name="Z_14DE6746_EFE9_4648_B824_D04A77CB20AF_.wvu.PrintArea" localSheetId="1" hidden="1">'JOB ORDER'!$B$29:$AU$116</definedName>
    <definedName name="Z_14DE6746_EFE9_4648_B824_D04A77CB20AF_.wvu.Rows" localSheetId="1" hidden="1">'JOB ORDER'!$1:$27</definedName>
    <definedName name="Z_18589A1A_8E0C_4135_955B_CF3950A6F760_.wvu.FilterData" localSheetId="0" hidden="1">'F-EN-12  REV.05'!$F$10:$F$110</definedName>
    <definedName name="Z_19C3496C_E333_4E1E_83C0_BBEB8423E09A_.wvu.FilterData" localSheetId="0" hidden="1">'F-EN-12  REV.05'!$D$10:$AH$110</definedName>
    <definedName name="Z_1A0E6FFA_8C8B_4ABB_ABAC_912F090B178E_.wvu.FilterData" localSheetId="0" hidden="1">'F-EN-12  REV.05'!$F$10:$F$210</definedName>
    <definedName name="Z_1F71C752_2154_4521_BED4_49ACD9417A06_.wvu.FilterData" localSheetId="0" hidden="1">'F-EN-12  REV.05'!$F$10:$F$110</definedName>
    <definedName name="Z_2334668D_F2A4_4185_B516_A2597FBC7A7C_.wvu.FilterData" localSheetId="0" hidden="1">'F-EN-12  REV.05'!$D$10:$AH$110</definedName>
    <definedName name="Z_237F4384_CDB9_4F0B_B39B_8D9D4FE9822F_.wvu.FilterData" localSheetId="0" hidden="1">'F-EN-12  REV.05'!$F$10:$F$362</definedName>
    <definedName name="Z_237F4384_CDB9_4F0B_B39B_8D9D4FE9822F_.wvu.PrintArea" localSheetId="2" hidden="1">FlowChart!$B$2:$L$38</definedName>
    <definedName name="Z_237F4384_CDB9_4F0B_B39B_8D9D4FE9822F_.wvu.PrintArea" localSheetId="1" hidden="1">'JOB ORDER'!$B$29:$AU$116</definedName>
    <definedName name="Z_237F4384_CDB9_4F0B_B39B_8D9D4FE9822F_.wvu.Rows" localSheetId="1" hidden="1">'JOB ORDER'!$1:$27</definedName>
    <definedName name="Z_26F4FC40_0203_4AB2_999C_B727B44DE180_.wvu.FilterData" localSheetId="0" hidden="1">'F-EN-12  REV.05'!$F$10:$F$310</definedName>
    <definedName name="Z_26F4FC40_0203_4AB2_999C_B727B44DE180_.wvu.PrintArea" localSheetId="2" hidden="1">FlowChart!$B$2:$L$38</definedName>
    <definedName name="Z_26F4FC40_0203_4AB2_999C_B727B44DE180_.wvu.PrintArea" localSheetId="1" hidden="1">'JOB ORDER'!$B$29:$AU$116</definedName>
    <definedName name="Z_26F4FC40_0203_4AB2_999C_B727B44DE180_.wvu.Rows" localSheetId="1" hidden="1">'JOB ORDER'!$1:$27</definedName>
    <definedName name="Z_28E91434_C588_4B5C_A002_418AFB930589_.wvu.FilterData" localSheetId="0" hidden="1">'F-EN-12  REV.05'!$F$10:$F$210</definedName>
    <definedName name="Z_29611A7E_84B4_496C_8378_B73D09D4E773_.wvu.FilterData" localSheetId="0" hidden="1">'F-EN-12  REV.05'!$F$10:$F$210</definedName>
    <definedName name="Z_2A51C04A_2804_498F_8470_C57C965E359C_.wvu.FilterData" localSheetId="0" hidden="1">'F-EN-12  REV.05'!$F$10:$F$110</definedName>
    <definedName name="Z_2EE907A0_702B_4DBC_BCD0_D83050B452DD_.wvu.FilterData" localSheetId="0" hidden="1">'F-EN-12  REV.05'!$F$10:$F$210</definedName>
    <definedName name="Z_323EC5BC_EC7B_4A03_8931_691EA37F1FBF_.wvu.FilterData" localSheetId="0" hidden="1">'F-EN-12  REV.05'!$F$10:$F$210</definedName>
    <definedName name="Z_32975F4B_90AB_457A_A24B_43FBC16247B0_.wvu.FilterData" localSheetId="0" hidden="1">'F-EN-12  REV.05'!$F$10:$F$110</definedName>
    <definedName name="Z_32A6C4F1_D337_4B0C_B116_189C0A822F20_.wvu.FilterData" localSheetId="0" hidden="1">'F-EN-12  REV.05'!$F$10:$F$210</definedName>
    <definedName name="Z_3344D46F_B856_4245_9C96_EEE1D6F87E53_.wvu.FilterData" localSheetId="0" hidden="1">'F-EN-12  REV.05'!$F$10:$F$110</definedName>
    <definedName name="Z_33A2E905_4ED1_4A1E_A1CD_32E60A795A6F_.wvu.FilterData" localSheetId="0" hidden="1">'F-EN-12  REV.05'!$F$10:$M$362</definedName>
    <definedName name="Z_33AFFFAD_4689_454B_AE59_0DCE02558706_.wvu.FilterData" localSheetId="0" hidden="1">'F-EN-12  REV.05'!$F$10:$F$110</definedName>
    <definedName name="Z_3C44DCB8_AE21_460C_BE83_16ED4ECEF164_.wvu.FilterData" localSheetId="0" hidden="1">'F-EN-12  REV.05'!$F$10:$F$362</definedName>
    <definedName name="Z_3C44DCB8_AE21_460C_BE83_16ED4ECEF164_.wvu.PrintArea" localSheetId="2" hidden="1">FlowChart!$B$2:$L$38</definedName>
    <definedName name="Z_3C44DCB8_AE21_460C_BE83_16ED4ECEF164_.wvu.PrintArea" localSheetId="1" hidden="1">'JOB ORDER'!$B$29:$AU$116</definedName>
    <definedName name="Z_3C44DCB8_AE21_460C_BE83_16ED4ECEF164_.wvu.Rows" localSheetId="1" hidden="1">'JOB ORDER'!$1:$27</definedName>
    <definedName name="Z_3DF5C06F_4973_44DA_B649_F3A96FAD4FE3_.wvu.FilterData" localSheetId="0" hidden="1">'F-EN-12  REV.05'!$F$10:$F$210</definedName>
    <definedName name="Z_3FB67BDD_C8EB_4C27_A0E5_DDA6FDA336BC_.wvu.FilterData" localSheetId="0" hidden="1">'F-EN-12  REV.05'!$F$10:$F$210</definedName>
    <definedName name="Z_403F0979_DF76_4E12_B111_DFC345CC79E3_.wvu.FilterData" localSheetId="0" hidden="1">'F-EN-12  REV.05'!$F$10:$F$20</definedName>
    <definedName name="Z_41AE071A_CE94_4311_9268_BED53F231C87_.wvu.FilterData" localSheetId="0" hidden="1">'F-EN-12  REV.05'!$F$10:$F$210</definedName>
    <definedName name="Z_46F30412_34E9_470A_8E16_23C139649425_.wvu.FilterData" localSheetId="0" hidden="1">'F-EN-12  REV.05'!$F$10:$F$310</definedName>
    <definedName name="Z_4708D84A_6F31_4874_9E3E_FEE33F302696_.wvu.FilterData" localSheetId="0" hidden="1">'F-EN-12  REV.05'!$F$10:$F$310</definedName>
    <definedName name="Z_49AA3A72_AB5E_4520_80D3_31924A2B22C3_.wvu.FilterData" localSheetId="0" hidden="1">'F-EN-12  REV.05'!$F$10:$F$110</definedName>
    <definedName name="Z_4AD46607_C24B_4D3A_A064_76A346C13DB1_.wvu.FilterData" localSheetId="0" hidden="1">'F-EN-12  REV.05'!$F$10:$F$210</definedName>
    <definedName name="Z_4B160FCE_E4E1_4C5F_A95A_098B4092602F_.wvu.FilterData" localSheetId="0" hidden="1">'F-EN-12  REV.05'!$D$10:$D$110</definedName>
    <definedName name="Z_4B160FCE_E4E1_4C5F_A95A_098B4092602F_.wvu.PrintArea" localSheetId="2" hidden="1">FlowChart!$B$2:$L$38</definedName>
    <definedName name="Z_4B160FCE_E4E1_4C5F_A95A_098B4092602F_.wvu.PrintArea" localSheetId="1" hidden="1">'JOB ORDER'!$B$29:$AU$116</definedName>
    <definedName name="Z_4B160FCE_E4E1_4C5F_A95A_098B4092602F_.wvu.Rows" localSheetId="1" hidden="1">'JOB ORDER'!$1:$27</definedName>
    <definedName name="Z_4DDE8A91_C6DD_44C1_92EF_AB0B970F1E28_.wvu.FilterData" localSheetId="0" hidden="1">'F-EN-12  REV.05'!$F$10:$F$362</definedName>
    <definedName name="Z_4DDE8A91_C6DD_44C1_92EF_AB0B970F1E28_.wvu.PrintArea" localSheetId="2" hidden="1">FlowChart!$B$2:$L$38</definedName>
    <definedName name="Z_4DDE8A91_C6DD_44C1_92EF_AB0B970F1E28_.wvu.PrintArea" localSheetId="1" hidden="1">'JOB ORDER'!$B$29:$AU$116</definedName>
    <definedName name="Z_4DDE8A91_C6DD_44C1_92EF_AB0B970F1E28_.wvu.Rows" localSheetId="1" hidden="1">'JOB ORDER'!$1:$27</definedName>
    <definedName name="Z_5150C67F_99EF_495B_889C_F69025183689_.wvu.FilterData" localSheetId="0" hidden="1">'F-EN-12  REV.05'!$F$10:$F$310</definedName>
    <definedName name="Z_5531309C_DAB6_452C_BA26_5026B24A282C_.wvu.FilterData" localSheetId="0" hidden="1">'F-EN-12  REV.05'!$F$10:$F$110</definedName>
    <definedName name="Z_571287FD_093D_4EDC_8BD3_D98642EB99C3_.wvu.FilterData" localSheetId="0" hidden="1">'F-EN-12  REV.05'!$D$10:$D$20</definedName>
    <definedName name="Z_571287FD_093D_4EDC_8BD3_D98642EB99C3_.wvu.PrintArea" localSheetId="1" hidden="1">'JOB ORDER'!$B$29:$AU$116</definedName>
    <definedName name="Z_571287FD_093D_4EDC_8BD3_D98642EB99C3_.wvu.Rows" localSheetId="1" hidden="1">'JOB ORDER'!$1:$27</definedName>
    <definedName name="Z_57578EC8_2025_4CE0_ACDB_C567F50677DB_.wvu.FilterData" localSheetId="0" hidden="1">'F-EN-12  REV.05'!$F$10:$F$310</definedName>
    <definedName name="Z_5DD41FEA_2579_4957_A7A6_8D95CA25387D_.wvu.FilterData" localSheetId="0" hidden="1">'F-EN-12  REV.05'!$F$10:$M$210</definedName>
    <definedName name="Z_5DFD0254_B417_410B_8757_D40DEF55D94D_.wvu.FilterData" localSheetId="0" hidden="1">'F-EN-12  REV.05'!$F$10:$F$210</definedName>
    <definedName name="Z_5FEB8780_83A5_46AA_A5CB_9F9A479E52D7_.wvu.FilterData" localSheetId="0" hidden="1">'F-EN-12  REV.05'!$F$10:$F$310</definedName>
    <definedName name="Z_5FEB8780_83A5_46AA_A5CB_9F9A479E52D7_.wvu.PrintArea" localSheetId="2" hidden="1">FlowChart!$B$2:$L$38</definedName>
    <definedName name="Z_5FEB8780_83A5_46AA_A5CB_9F9A479E52D7_.wvu.PrintArea" localSheetId="1" hidden="1">'JOB ORDER'!$B$29:$AU$116</definedName>
    <definedName name="Z_5FEB8780_83A5_46AA_A5CB_9F9A479E52D7_.wvu.Rows" localSheetId="1" hidden="1">'JOB ORDER'!$1:$27</definedName>
    <definedName name="Z_6004D98B_6ABA_4FF6_9676_15535CD39CE8_.wvu.FilterData" localSheetId="0" hidden="1">'F-EN-12  REV.05'!$F$10:$F$310</definedName>
    <definedName name="Z_625D5130_06C8_4D06_A975_ABA68D083B42_.wvu.FilterData" localSheetId="0" hidden="1">'F-EN-12  REV.05'!$F$10:$F$210</definedName>
    <definedName name="Z_625D5130_06C8_4D06_A975_ABA68D083B42_.wvu.PrintArea" localSheetId="2" hidden="1">FlowChart!$B$2:$L$38</definedName>
    <definedName name="Z_625D5130_06C8_4D06_A975_ABA68D083B42_.wvu.PrintArea" localSheetId="1" hidden="1">'JOB ORDER'!$B$29:$AU$116</definedName>
    <definedName name="Z_625D5130_06C8_4D06_A975_ABA68D083B42_.wvu.Rows" localSheetId="1" hidden="1">'JOB ORDER'!$1:$27</definedName>
    <definedName name="Z_640E0FBC_C9F6_4657_83AC_6F6D90CBCD81_.wvu.FilterData" localSheetId="0" hidden="1">'F-EN-12  REV.05'!$F$10:$F$362</definedName>
    <definedName name="Z_66AB98CA_70F5_40FC_97B6_36D2891185B0_.wvu.FilterData" localSheetId="0" hidden="1">'F-EN-12  REV.05'!$F$10:$F$210</definedName>
    <definedName name="Z_69769C04_A8C6_416F_9A5F_630D490D83D5_.wvu.FilterData" localSheetId="0" hidden="1">'F-EN-12  REV.05'!$F$10:$F$310</definedName>
    <definedName name="Z_6AFF9773_E2DA_4972_85B8_3A20AB7C1C9D_.wvu.FilterData" localSheetId="0" hidden="1">'F-EN-12  REV.05'!$D$10:$AH$110</definedName>
    <definedName name="Z_6DEADD92_268E_44E9_9815_8481D2260BD0_.wvu.FilterData" localSheetId="0" hidden="1">'F-EN-12  REV.05'!$F$10:$F$210</definedName>
    <definedName name="Z_6E45CC1C_F2B4_4E71_B4D9_E4A83D340A41_.wvu.FilterData" localSheetId="0" hidden="1">'F-EN-12  REV.05'!$F$10:$F$310</definedName>
    <definedName name="Z_6E45CC1C_F2B4_4E71_B4D9_E4A83D340A41_.wvu.PrintArea" localSheetId="2" hidden="1">FlowChart!$B$2:$L$38</definedName>
    <definedName name="Z_6E45CC1C_F2B4_4E71_B4D9_E4A83D340A41_.wvu.PrintArea" localSheetId="1" hidden="1">'JOB ORDER'!$B$29:$AU$116</definedName>
    <definedName name="Z_6E45CC1C_F2B4_4E71_B4D9_E4A83D340A41_.wvu.Rows" localSheetId="1" hidden="1">'JOB ORDER'!$1:$27</definedName>
    <definedName name="Z_6F461DA1_B57B_4546_AD8F_CFE92552ECCE_.wvu.FilterData" localSheetId="0" hidden="1">'F-EN-12  REV.05'!$F$10:$F$210</definedName>
    <definedName name="Z_71F07321_F78D_490D_AAAD_22931531EFCB_.wvu.FilterData" localSheetId="0" hidden="1">'F-EN-12  REV.05'!$F$10:$F$20</definedName>
    <definedName name="Z_725C6403_CA7F_4F2C_9A0D_0A8F381A2CAD_.wvu.FilterData" localSheetId="0" hidden="1">'F-EN-12  REV.05'!$F$10:$M$362</definedName>
    <definedName name="Z_725C6403_CA7F_4F2C_9A0D_0A8F381A2CAD_.wvu.PrintArea" localSheetId="0" hidden="1">'F-EN-12  REV.05'!$D$6:$AH$110</definedName>
    <definedName name="Z_725C6403_CA7F_4F2C_9A0D_0A8F381A2CAD_.wvu.PrintArea" localSheetId="2" hidden="1">FlowChart!$B$2:$L$38</definedName>
    <definedName name="Z_725C6403_CA7F_4F2C_9A0D_0A8F381A2CAD_.wvu.PrintArea" localSheetId="1" hidden="1">'JOB ORDER'!$B$29:$AU$116</definedName>
    <definedName name="Z_725C6403_CA7F_4F2C_9A0D_0A8F381A2CAD_.wvu.PrintTitles" localSheetId="0" hidden="1">'F-EN-12  REV.05'!$6:$10</definedName>
    <definedName name="Z_725C6403_CA7F_4F2C_9A0D_0A8F381A2CAD_.wvu.Rows" localSheetId="1" hidden="1">'JOB ORDER'!$1:$27</definedName>
    <definedName name="Z_75F7C4C6_65AF_429C_8BA5_A69F76712EEE_.wvu.FilterData" localSheetId="0" hidden="1">'F-EN-12  REV.05'!$F$10:$F$110</definedName>
    <definedName name="Z_78AF171D_678D_4785_AAA3_E13B4851B7AE_.wvu.FilterData" localSheetId="0" hidden="1">'F-EN-12  REV.05'!$F$10:$F$362</definedName>
    <definedName name="Z_78AF171D_678D_4785_AAA3_E13B4851B7AE_.wvu.PrintArea" localSheetId="0" hidden="1">'F-EN-12  REV.05'!$D$6:$AH$110</definedName>
    <definedName name="Z_78AF171D_678D_4785_AAA3_E13B4851B7AE_.wvu.PrintArea" localSheetId="2" hidden="1">FlowChart!$B$2:$L$38</definedName>
    <definedName name="Z_78AF171D_678D_4785_AAA3_E13B4851B7AE_.wvu.PrintArea" localSheetId="1" hidden="1">'JOB ORDER'!$B$29:$AU$116</definedName>
    <definedName name="Z_78AF171D_678D_4785_AAA3_E13B4851B7AE_.wvu.PrintTitles" localSheetId="0" hidden="1">'F-EN-12  REV.05'!$6:$10</definedName>
    <definedName name="Z_78AF171D_678D_4785_AAA3_E13B4851B7AE_.wvu.Rows" localSheetId="1" hidden="1">'JOB ORDER'!$1:$27</definedName>
    <definedName name="Z_7AAD0ECF_0B5C_4D2C_BE71_C211348EE072_.wvu.FilterData" localSheetId="0" hidden="1">'F-EN-12  REV.05'!$D$10:$AH$110</definedName>
    <definedName name="Z_7AB1BAAF_3D2A_4FCD_9871_B72873C81CEB_.wvu.FilterData" localSheetId="0" hidden="1">'F-EN-12  REV.05'!$F$10:$F$210</definedName>
    <definedName name="Z_7EFE73E0_EBC3_48E0_A5A6_8E64B0AF5F8A_.wvu.FilterData" localSheetId="0" hidden="1">'F-EN-12  REV.05'!$F$10:$F$110</definedName>
    <definedName name="Z_81AC8332_CC6D_4DF7_A113_DAE8234E2D58_.wvu.FilterData" localSheetId="0" hidden="1">'F-EN-12  REV.05'!$F$10:$F$362</definedName>
    <definedName name="Z_81AC8332_CC6D_4DF7_A113_DAE8234E2D58_.wvu.PrintArea" localSheetId="2" hidden="1">FlowChart!$B$2:$L$38</definedName>
    <definedName name="Z_81AC8332_CC6D_4DF7_A113_DAE8234E2D58_.wvu.PrintArea" localSheetId="1" hidden="1">'JOB ORDER'!$B$29:$AU$116</definedName>
    <definedName name="Z_81AC8332_CC6D_4DF7_A113_DAE8234E2D58_.wvu.Rows" localSheetId="1" hidden="1">'JOB ORDER'!$1:$27</definedName>
    <definedName name="Z_8BDCE61A_B3F6_4F3F_A672_61D8A85D1956_.wvu.FilterData" localSheetId="0" hidden="1">'F-EN-12  REV.05'!$F$10:$F$362</definedName>
    <definedName name="Z_8BDCE61A_B3F6_4F3F_A672_61D8A85D1956_.wvu.PrintArea" localSheetId="2" hidden="1">FlowChart!$B$2:$L$38</definedName>
    <definedName name="Z_8BDCE61A_B3F6_4F3F_A672_61D8A85D1956_.wvu.PrintArea" localSheetId="1" hidden="1">'JOB ORDER'!$B$29:$AU$116</definedName>
    <definedName name="Z_8BDCE61A_B3F6_4F3F_A672_61D8A85D1956_.wvu.Rows" localSheetId="1" hidden="1">'JOB ORDER'!$1:$27</definedName>
    <definedName name="Z_8E658DF9_027A_49F9_9475_6BB12E4324FA_.wvu.FilterData" localSheetId="0" hidden="1">'F-EN-12  REV.05'!$F$10:$F$110</definedName>
    <definedName name="Z_92E2A3D6_6865_4A95_8F02_7FDA997293A9_.wvu.FilterData" localSheetId="0" hidden="1">'F-EN-12  REV.05'!$F$10:$F$362</definedName>
    <definedName name="Z_92E2A3D6_6865_4A95_8F02_7FDA997293A9_.wvu.PrintArea" localSheetId="2" hidden="1">FlowChart!$B$2:$L$38</definedName>
    <definedName name="Z_92E2A3D6_6865_4A95_8F02_7FDA997293A9_.wvu.PrintArea" localSheetId="1" hidden="1">'JOB ORDER'!$B$29:$AU$116</definedName>
    <definedName name="Z_92E2A3D6_6865_4A95_8F02_7FDA997293A9_.wvu.Rows" localSheetId="1" hidden="1">'JOB ORDER'!$1:$27</definedName>
    <definedName name="Z_95F81F2F_C50D_4752_9346_DE98B9C44951_.wvu.FilterData" localSheetId="0" hidden="1">'F-EN-12  REV.05'!$F$10:$F$210</definedName>
    <definedName name="Z_97539152_52C8_4DC4_9652_C2441287C382_.wvu.FilterData" localSheetId="0" hidden="1">'F-EN-12  REV.05'!$D$10:$D$110</definedName>
    <definedName name="Z_97539152_52C8_4DC4_9652_C2441287C382_.wvu.PrintArea" localSheetId="2" hidden="1">FlowChart!$B$2:$L$38</definedName>
    <definedName name="Z_97539152_52C8_4DC4_9652_C2441287C382_.wvu.PrintArea" localSheetId="1" hidden="1">'JOB ORDER'!$B$29:$AU$116</definedName>
    <definedName name="Z_97539152_52C8_4DC4_9652_C2441287C382_.wvu.Rows" localSheetId="1" hidden="1">'JOB ORDER'!$1:$27</definedName>
    <definedName name="Z_97DF40D9_B689_4D8C_92E3_D40E7DFC9B55_.wvu.FilterData" localSheetId="0" hidden="1">'F-EN-12  REV.05'!$F$10:$F$110</definedName>
    <definedName name="Z_98415BE6_01A1_4743_8C25_780D87EBA836_.wvu.FilterData" localSheetId="0" hidden="1">'F-EN-12  REV.05'!$F$10:$F$362</definedName>
    <definedName name="Z_98415BE6_01A1_4743_8C25_780D87EBA836_.wvu.PrintArea" localSheetId="2" hidden="1">FlowChart!$B$2:$L$38</definedName>
    <definedName name="Z_98415BE6_01A1_4743_8C25_780D87EBA836_.wvu.PrintArea" localSheetId="1" hidden="1">'JOB ORDER'!$B$29:$AU$116</definedName>
    <definedName name="Z_98415BE6_01A1_4743_8C25_780D87EBA836_.wvu.Rows" localSheetId="1" hidden="1">'JOB ORDER'!$1:$27</definedName>
    <definedName name="Z_9D751A57_40DA_49B8_9508_C6D7ED5E68F3_.wvu.FilterData" localSheetId="0" hidden="1">'F-EN-12  REV.05'!$D$10:$D$110</definedName>
    <definedName name="Z_9D751A57_40DA_49B8_9508_C6D7ED5E68F3_.wvu.PrintArea" localSheetId="1" hidden="1">'JOB ORDER'!$B$29:$AU$116</definedName>
    <definedName name="Z_9D751A57_40DA_49B8_9508_C6D7ED5E68F3_.wvu.Rows" localSheetId="1" hidden="1">'JOB ORDER'!$1:$27</definedName>
    <definedName name="Z_A2A0847F_3A3E_4A3A_A2F5_2E22E517D25C_.wvu.FilterData" localSheetId="0" hidden="1">'F-EN-12  REV.05'!$F$10:$F$210</definedName>
    <definedName name="Z_A33059F9_880A_48B3_B760_652DEE2C0F24_.wvu.FilterData" localSheetId="0" hidden="1">'F-EN-12  REV.05'!$F$10:$F$310</definedName>
    <definedName name="Z_A33059F9_880A_48B3_B760_652DEE2C0F24_.wvu.PrintArea" localSheetId="2" hidden="1">FlowChart!$B$2:$L$38</definedName>
    <definedName name="Z_A33059F9_880A_48B3_B760_652DEE2C0F24_.wvu.PrintArea" localSheetId="1" hidden="1">'JOB ORDER'!$B$29:$AU$116</definedName>
    <definedName name="Z_A33059F9_880A_48B3_B760_652DEE2C0F24_.wvu.Rows" localSheetId="1" hidden="1">'JOB ORDER'!$1:$27</definedName>
    <definedName name="Z_A3E2F7B2_EDD4_496B_AB8C_6D4480FC978E_.wvu.FilterData" localSheetId="0" hidden="1">'F-EN-12  REV.05'!$F$10:$F$362</definedName>
    <definedName name="Z_A3E2F7B2_EDD4_496B_AB8C_6D4480FC978E_.wvu.PrintArea" localSheetId="2" hidden="1">FlowChart!$B$2:$L$38</definedName>
    <definedName name="Z_A3E2F7B2_EDD4_496B_AB8C_6D4480FC978E_.wvu.PrintArea" localSheetId="1" hidden="1">'JOB ORDER'!$B$29:$AU$116</definedName>
    <definedName name="Z_A3E2F7B2_EDD4_496B_AB8C_6D4480FC978E_.wvu.Rows" localSheetId="1" hidden="1">'JOB ORDER'!$1:$27</definedName>
    <definedName name="Z_A67533C0_DC49_40DE_AEF5_5C17FB95027C_.wvu.FilterData" localSheetId="0" hidden="1">'F-EN-12  REV.05'!$F$10:$F$310</definedName>
    <definedName name="Z_A67533C0_DC49_40DE_AEF5_5C17FB95027C_.wvu.PrintArea" localSheetId="0" hidden="1">'F-EN-12  REV.05'!$D$6:$AH$110</definedName>
    <definedName name="Z_A67533C0_DC49_40DE_AEF5_5C17FB95027C_.wvu.PrintArea" localSheetId="2" hidden="1">FlowChart!$B$2:$L$38</definedName>
    <definedName name="Z_A67533C0_DC49_40DE_AEF5_5C17FB95027C_.wvu.PrintArea" localSheetId="1" hidden="1">'JOB ORDER'!$B$29:$AU$116</definedName>
    <definedName name="Z_A67533C0_DC49_40DE_AEF5_5C17FB95027C_.wvu.PrintTitles" localSheetId="0" hidden="1">'F-EN-12  REV.05'!$6:$10</definedName>
    <definedName name="Z_A67533C0_DC49_40DE_AEF5_5C17FB95027C_.wvu.Rows" localSheetId="1" hidden="1">'JOB ORDER'!$1:$27</definedName>
    <definedName name="Z_A8B30D1E_7EC0_4837_AB67_E8ADA658B937_.wvu.FilterData" localSheetId="0" hidden="1">'F-EN-12  REV.05'!$F$10:$F$210</definedName>
    <definedName name="Z_A8B30D1E_7EC0_4837_AB67_E8ADA658B937_.wvu.PrintArea" localSheetId="2" hidden="1">FlowChart!$B$2:$L$38</definedName>
    <definedName name="Z_A8B30D1E_7EC0_4837_AB67_E8ADA658B937_.wvu.PrintArea" localSheetId="1" hidden="1">'JOB ORDER'!$B$29:$AU$116</definedName>
    <definedName name="Z_A8B30D1E_7EC0_4837_AB67_E8ADA658B937_.wvu.Rows" localSheetId="1" hidden="1">'JOB ORDER'!$1:$27</definedName>
    <definedName name="Z_A8C858D7_F438_49FC_AE35_CD0A63C23AEE_.wvu.FilterData" localSheetId="0" hidden="1">'F-EN-12  REV.05'!$F$10:$M$210</definedName>
    <definedName name="Z_A9D637E6_D5B3_4C7B_9412_DC7D1E83C6F3_.wvu.FilterData" localSheetId="0" hidden="1">'F-EN-12  REV.05'!$F$10:$F$110</definedName>
    <definedName name="Z_AA76D42C_FF81_4012_9724_37BEA4274EAD_.wvu.FilterData" localSheetId="0" hidden="1">'F-EN-12  REV.05'!$F$10:$F$110</definedName>
    <definedName name="Z_AA76D42C_FF81_4012_9724_37BEA4274EAD_.wvu.PrintArea" localSheetId="2" hidden="1">FlowChart!$B$2:$L$38</definedName>
    <definedName name="Z_AA76D42C_FF81_4012_9724_37BEA4274EAD_.wvu.PrintArea" localSheetId="1" hidden="1">'JOB ORDER'!$B$29:$AU$116</definedName>
    <definedName name="Z_AA76D42C_FF81_4012_9724_37BEA4274EAD_.wvu.Rows" localSheetId="1" hidden="1">'JOB ORDER'!$1:$27</definedName>
    <definedName name="Z_AAE2FEC6_D242_4C69_9722_A5CF6C31B6C1_.wvu.FilterData" localSheetId="0" hidden="1">'F-EN-12  REV.05'!$F$10:$F$310</definedName>
    <definedName name="Z_AB0ED241_588C_44A5_8CA9_04A573A77A86_.wvu.FilterData" localSheetId="0" hidden="1">'F-EN-12  REV.05'!$F$10:$F$210</definedName>
    <definedName name="Z_AFEB5292_42AC_4FE2_B507_92FEECC6EBAA_.wvu.FilterData" localSheetId="0" hidden="1">'F-EN-12  REV.05'!$F$10:$F$110</definedName>
    <definedName name="Z_B01B6263_624C_4B05_BF88_BC03DE20DB93_.wvu.FilterData" localSheetId="0" hidden="1">'F-EN-12  REV.05'!$F$10:$F$210</definedName>
    <definedName name="Z_B441363D_2C19_40D7_8998_69745B4864FE_.wvu.FilterData" localSheetId="0" hidden="1">'F-EN-12  REV.05'!$F$10:$F$110</definedName>
    <definedName name="Z_C2BD8B16_66E1_415D_BFAF_8EC20656B471_.wvu.FilterData" localSheetId="0" hidden="1">'F-EN-12  REV.05'!$F$10:$F$310</definedName>
    <definedName name="Z_C2BD8B16_66E1_415D_BFAF_8EC20656B471_.wvu.PrintArea" localSheetId="2" hidden="1">FlowChart!$B$2:$L$38</definedName>
    <definedName name="Z_C2BD8B16_66E1_415D_BFAF_8EC20656B471_.wvu.PrintArea" localSheetId="1" hidden="1">'JOB ORDER'!$B$29:$AU$116</definedName>
    <definedName name="Z_C2BD8B16_66E1_415D_BFAF_8EC20656B471_.wvu.Rows" localSheetId="1" hidden="1">'JOB ORDER'!$1:$27</definedName>
    <definedName name="Z_C6EC2A9F_4D28_4B13_A181_43471E5FA580_.wvu.FilterData" localSheetId="0" hidden="1">'F-EN-12  REV.05'!$F$10:$F$310</definedName>
    <definedName name="Z_C6EC2A9F_4D28_4B13_A181_43471E5FA580_.wvu.PrintArea" localSheetId="0" hidden="1">'F-EN-12  REV.05'!$D$6:$AH$110</definedName>
    <definedName name="Z_C6EC2A9F_4D28_4B13_A181_43471E5FA580_.wvu.PrintArea" localSheetId="2" hidden="1">FlowChart!$B$2:$L$38</definedName>
    <definedName name="Z_C6EC2A9F_4D28_4B13_A181_43471E5FA580_.wvu.PrintArea" localSheetId="1" hidden="1">'JOB ORDER'!$B$29:$AU$116</definedName>
    <definedName name="Z_C6EC2A9F_4D28_4B13_A181_43471E5FA580_.wvu.PrintTitles" localSheetId="0" hidden="1">'F-EN-12  REV.05'!$6:$10</definedName>
    <definedName name="Z_C6EC2A9F_4D28_4B13_A181_43471E5FA580_.wvu.Rows" localSheetId="1" hidden="1">'JOB ORDER'!$1:$27</definedName>
    <definedName name="Z_C71D5A81_BFAC_420A_BA4C_E7DD41B6761F_.wvu.FilterData" localSheetId="0" hidden="1">'F-EN-12  REV.05'!$F$10:$F$310</definedName>
    <definedName name="Z_C8668995_1005_4688_A6EB_A2F3AE31A309_.wvu.FilterData" localSheetId="0" hidden="1">'F-EN-12  REV.05'!$F$10:$F$310</definedName>
    <definedName name="Z_C8668995_1005_4688_A6EB_A2F3AE31A309_.wvu.PrintArea" localSheetId="2" hidden="1">FlowChart!$B$2:$L$38</definedName>
    <definedName name="Z_C8668995_1005_4688_A6EB_A2F3AE31A309_.wvu.PrintArea" localSheetId="1" hidden="1">'JOB ORDER'!$B$29:$AU$116</definedName>
    <definedName name="Z_C8668995_1005_4688_A6EB_A2F3AE31A309_.wvu.Rows" localSheetId="1" hidden="1">'JOB ORDER'!$1:$27</definedName>
    <definedName name="Z_C9A785A8_29E0_4213_9BC7_01CD2B7F1525_.wvu.FilterData" localSheetId="0" hidden="1">'F-EN-12  REV.05'!$F$10:$F$110</definedName>
    <definedName name="Z_CA0B07A8_3376_448E_846A_50636AFF4139_.wvu.FilterData" localSheetId="0" hidden="1">'F-EN-12  REV.05'!$F$10:$F$110</definedName>
    <definedName name="Z_CBDFD7FD_13DC_4516_894B_851351BA6AB9_.wvu.FilterData" localSheetId="0" hidden="1">'F-EN-12  REV.05'!$D$10:$D$110</definedName>
    <definedName name="Z_CBDFD7FD_13DC_4516_894B_851351BA6AB9_.wvu.PrintArea" localSheetId="0" hidden="1">'F-EN-12  REV.05'!$D$6:$AH$110</definedName>
    <definedName name="Z_CBDFD7FD_13DC_4516_894B_851351BA6AB9_.wvu.PrintArea" localSheetId="2" hidden="1">FlowChart!$B$2:$L$38</definedName>
    <definedName name="Z_CBDFD7FD_13DC_4516_894B_851351BA6AB9_.wvu.PrintArea" localSheetId="1" hidden="1">'JOB ORDER'!$B$29:$AU$116</definedName>
    <definedName name="Z_CBDFD7FD_13DC_4516_894B_851351BA6AB9_.wvu.PrintTitles" localSheetId="0" hidden="1">'F-EN-12  REV.05'!$6:$10</definedName>
    <definedName name="Z_CBDFD7FD_13DC_4516_894B_851351BA6AB9_.wvu.Rows" localSheetId="1" hidden="1">'JOB ORDER'!$1:$27</definedName>
    <definedName name="Z_D0B4EC36_FC7F_4C60_929D_168BCF056509_.wvu.FilterData" localSheetId="0" hidden="1">'F-EN-12  REV.05'!$F$10:$F$110</definedName>
    <definedName name="Z_D2673080_F890_47E1_8D19_24DC44CD3D17_.wvu.FilterData" localSheetId="0" hidden="1">'F-EN-12  REV.05'!$F$10:$F$362</definedName>
    <definedName name="Z_D2673080_F890_47E1_8D19_24DC44CD3D17_.wvu.PrintArea" localSheetId="2" hidden="1">FlowChart!$B$2:$L$38</definedName>
    <definedName name="Z_D2673080_F890_47E1_8D19_24DC44CD3D17_.wvu.PrintArea" localSheetId="1" hidden="1">'JOB ORDER'!$B$29:$AU$116</definedName>
    <definedName name="Z_D2673080_F890_47E1_8D19_24DC44CD3D17_.wvu.Rows" localSheetId="1" hidden="1">'JOB ORDER'!$1:$27</definedName>
    <definedName name="Z_D38BCB13_F037_4451_83C8_426AA15E9A23_.wvu.FilterData" localSheetId="0" hidden="1">'F-EN-12  REV.05'!$F$10:$F$210</definedName>
    <definedName name="Z_D38BCB13_F037_4451_83C8_426AA15E9A23_.wvu.PrintArea" localSheetId="2" hidden="1">FlowChart!$B$2:$L$38</definedName>
    <definedName name="Z_D38BCB13_F037_4451_83C8_426AA15E9A23_.wvu.PrintArea" localSheetId="1" hidden="1">'JOB ORDER'!$B$29:$AU$116</definedName>
    <definedName name="Z_D38BCB13_F037_4451_83C8_426AA15E9A23_.wvu.Rows" localSheetId="1" hidden="1">'JOB ORDER'!$1:$27</definedName>
    <definedName name="Z_D3B7D4A8_CC38_4ADC_AC5D_48AA28FC33D7_.wvu.FilterData" localSheetId="0" hidden="1">'F-EN-12  REV.05'!$F$10:$F$310</definedName>
    <definedName name="Z_D607764E_0D1D_444A_A83D_80F037A4086A_.wvu.FilterData" localSheetId="0" hidden="1">'F-EN-12  REV.05'!$F$10:$M$210</definedName>
    <definedName name="Z_D60DBDA2_2F76_45FD_AFD1_5D9519705DFE_.wvu.FilterData" localSheetId="0" hidden="1">'F-EN-12  REV.05'!$F$10:$F$310</definedName>
    <definedName name="Z_D845B0E4_183C_458D_A99C_CEC57F05FBF7_.wvu.FilterData" localSheetId="0" hidden="1">'F-EN-12  REV.05'!$F$10:$F$110</definedName>
    <definedName name="Z_DE16DEA0_2B19_45E0_989E_E4CBA4FC7B13_.wvu.FilterData" localSheetId="0" hidden="1">'F-EN-12  REV.05'!$F$10:$F$210</definedName>
    <definedName name="Z_E1AE103D_0725_418D_8270_E99EA035AA47_.wvu.FilterData" localSheetId="0" hidden="1">'F-EN-12  REV.05'!$F$10:$F$110</definedName>
    <definedName name="Z_E1D6549E_9F81_4BD4_AE10_499652B2A2D1_.wvu.FilterData" localSheetId="0" hidden="1">'F-EN-12  REV.05'!$F$10:$F$110</definedName>
    <definedName name="Z_E2E2BF37_310E_4834_8EEF_91FB1DC91945_.wvu.FilterData" localSheetId="0" hidden="1">'F-EN-12  REV.05'!$F$10:$F$110</definedName>
    <definedName name="Z_E7A00FAE_CEE3_4432_99AD_61BFF44ED7B2_.wvu.FilterData" localSheetId="0" hidden="1">'F-EN-12  REV.05'!$D$10:$D$110</definedName>
    <definedName name="Z_E7A00FAE_CEE3_4432_99AD_61BFF44ED7B2_.wvu.PrintArea" localSheetId="2" hidden="1">FlowChart!$B$2:$L$38</definedName>
    <definedName name="Z_E7A00FAE_CEE3_4432_99AD_61BFF44ED7B2_.wvu.PrintArea" localSheetId="1" hidden="1">'JOB ORDER'!$B$29:$AU$116</definedName>
    <definedName name="Z_E7A00FAE_CEE3_4432_99AD_61BFF44ED7B2_.wvu.Rows" localSheetId="1" hidden="1">'JOB ORDER'!$1:$27</definedName>
    <definedName name="Z_E8E1D028_AAE1_4327_9427_0D2726133536_.wvu.FilterData" localSheetId="0" hidden="1">'F-EN-12  REV.05'!$D$10:$AH$110</definedName>
    <definedName name="Z_EA8E6500_02DD_4E84_90EC_A95AD5C5E0B8_.wvu.FilterData" localSheetId="0" hidden="1">'F-EN-12  REV.05'!$F$10:$F$310</definedName>
    <definedName name="Z_F1DD1301_AC38_417E_9FDD_EF4BAF952014_.wvu.FilterData" localSheetId="0" hidden="1">'F-EN-12  REV.05'!$D$10:$D$110</definedName>
    <definedName name="Z_F1DD1301_AC38_417E_9FDD_EF4BAF952014_.wvu.PrintArea" localSheetId="2" hidden="1">FlowChart!$B$2:$L$38</definedName>
    <definedName name="Z_F1DD1301_AC38_417E_9FDD_EF4BAF952014_.wvu.PrintArea" localSheetId="1" hidden="1">'JOB ORDER'!$B$29:$AU$116</definedName>
    <definedName name="Z_F1DD1301_AC38_417E_9FDD_EF4BAF952014_.wvu.Rows" localSheetId="1" hidden="1">'JOB ORDER'!$1:$27</definedName>
    <definedName name="Z_F27097F5_D233_4BD9_BBDF_3B442CB82FCF_.wvu.FilterData" localSheetId="0" hidden="1">'F-EN-12  REV.05'!$F$10:$F$110</definedName>
    <definedName name="Z_F27947B7_05CE_40C7_8B25_9BFB62971512_.wvu.FilterData" localSheetId="0" hidden="1">'F-EN-12  REV.05'!$F$10:$F$310</definedName>
    <definedName name="Z_F6E435B2_B188_488F_8598_AFC48570180D_.wvu.FilterData" localSheetId="0" hidden="1">'F-EN-12  REV.05'!$F$10:$F$362</definedName>
    <definedName name="Z_F6E435B2_B188_488F_8598_AFC48570180D_.wvu.PrintArea" localSheetId="2" hidden="1">FlowChart!$B$2:$L$38</definedName>
    <definedName name="Z_F6E435B2_B188_488F_8598_AFC48570180D_.wvu.PrintArea" localSheetId="1" hidden="1">'JOB ORDER'!$B$29:$AU$116</definedName>
    <definedName name="Z_F6E435B2_B188_488F_8598_AFC48570180D_.wvu.Rows" localSheetId="1" hidden="1">'JOB ORDER'!$1:$27</definedName>
    <definedName name="Z_F9714F62_3E8C_4437_B2EF_0CB73329ACCE_.wvu.FilterData" localSheetId="0" hidden="1">'F-EN-12  REV.05'!$F$10:$F$210</definedName>
    <definedName name="Z_F99A170A_6F41_41C6_8066_ECF6395972BC_.wvu.FilterData" localSheetId="0" hidden="1">'F-EN-12  REV.05'!$F$10:$F$110</definedName>
    <definedName name="Z_FC5D9EFE_6C94_423B_84F6_D8C3E480C880_.wvu.FilterData" localSheetId="0" hidden="1">'F-EN-12  REV.05'!$F$10:$F$210</definedName>
    <definedName name="Z_FD817A90_A104_4ACC_94E4_303785E30384_.wvu.FilterData" localSheetId="0" hidden="1">'F-EN-12  REV.05'!$F$10:$F$210</definedName>
    <definedName name="Z_FE5AA243_EFE1_4365_8BA6_B1A1081CA613_.wvu.FilterData" localSheetId="0" hidden="1">'F-EN-12  REV.05'!$F$10:$F$110</definedName>
    <definedName name="Z_FF260044_C731_4EDA_936B_6F581F1AFDF8_.wvu.FilterData" localSheetId="0" hidden="1">'F-EN-12  REV.05'!$F$10:$F$310</definedName>
    <definedName name="Z_FF6F8DCD_7975_4936_AC73_ABCF430D74F2_.wvu.FilterData" localSheetId="0" hidden="1">'F-EN-12  REV.05'!$F$10:$F$210</definedName>
    <definedName name="Z_FFA4E102_9562_4603_B4B7_1AA791121E50_.wvu.FilterData" localSheetId="0" hidden="1">'F-EN-12  REV.05'!$F$10:$F$210</definedName>
    <definedName name="Z_FFA4E102_9562_4603_B4B7_1AA791121E50_.wvu.PrintArea" localSheetId="2" hidden="1">FlowChart!$B$2:$L$38</definedName>
    <definedName name="Z_FFA4E102_9562_4603_B4B7_1AA791121E50_.wvu.PrintArea" localSheetId="1" hidden="1">'JOB ORDER'!$B$29:$AU$116</definedName>
    <definedName name="Z_FFA4E102_9562_4603_B4B7_1AA791121E50_.wvu.Rows" localSheetId="1" hidden="1">'JOB ORDER'!$1:$27</definedName>
  </definedNames>
  <calcPr calcId="191029"/>
  <customWorkbookViews>
    <customWorkbookView name="pda11 - Personal View" guid="{725C6403-CA7F-4F2C-9A0D-0A8F381A2CAD}" mergeInterval="0" personalView="1" maximized="1" xWindow="-8" yWindow="-8" windowWidth="1936" windowHeight="1056" tabRatio="507" activeSheetId="1"/>
    <customWorkbookView name="pra04 - Personal View" guid="{78AF171D-678D-4785-AAA3-E13B4851B7AE}" mergeInterval="0" personalView="1" maximized="1" xWindow="-8" yWindow="-8" windowWidth="1382" windowHeight="744" tabRatio="351" activeSheetId="1" showFormulaBar="0"/>
    <customWorkbookView name="wha07 - Personal View" guid="{A3E2F7B2-EDD4-496B-AB8C-6D4480FC978E}" mergeInterval="0" personalView="1" maximized="1" xWindow="-8" yWindow="-8" windowWidth="1936" windowHeight="1056" tabRatio="351" activeSheetId="1"/>
    <customWorkbookView name="pra05 - Personal View" guid="{92E2A3D6-6865-4A95-8F02-7FDA997293A9}" mergeInterval="0" personalView="1" xWindow="89" yWindow="48" windowWidth="1825" windowHeight="921" tabRatio="494" activeSheetId="1"/>
    <customWorkbookView name="pda05 - Personal View" guid="{D2673080-F890-47E1-8D19-24DC44CD3D17}" mergeInterval="0" personalView="1" maximized="1" xWindow="-8" yWindow="-8" windowWidth="1382" windowHeight="744" tabRatio="351" activeSheetId="1"/>
    <customWorkbookView name="qaa17 - Personal View" guid="{3C44DCB8-AE21-460C-BE83-16ED4ECEF164}" mergeInterval="0" personalView="1" maximized="1" xWindow="-9" yWindow="-9" windowWidth="1938" windowHeight="1048" tabRatio="494" activeSheetId="1"/>
    <customWorkbookView name="aca03 - Personal View" guid="{C8668995-1005-4688-A6EB-A2F3AE31A309}" mergeInterval="0" personalView="1" maximized="1" xWindow="-9" yWindow="-9" windowWidth="1938" windowHeight="1050" tabRatio="351" activeSheetId="1" showFormulaBar="0"/>
    <customWorkbookView name="pna04 - Personal View" guid="{A67533C0-DC49-40DE-AEF5-5C17FB95027C}" mergeInterval="0" personalView="1" maximized="1" xWindow="-8" yWindow="-8" windowWidth="1382" windowHeight="744" tabRatio="351" activeSheetId="1"/>
    <customWorkbookView name="aca01 - Personal View" guid="{6E45CC1C-F2B4-4E71-B4D9-E4A83D340A41}" mergeInterval="0" personalView="1" maximized="1" windowWidth="1362" windowHeight="543" tabRatio="494" activeSheetId="1"/>
    <customWorkbookView name="wha09 - Personal View" guid="{5FEB8780-83A5-46AA-A5CB-9F9A479E52D7}" mergeInterval="0" personalView="1" maximized="1" windowWidth="1350" windowHeight="531" tabRatio="494" activeSheetId="1"/>
    <customWorkbookView name="pra01 - Personal View" guid="{C6EC2A9F-4D28-4B13-A181-43471E5FA580}" mergeInterval="0" personalView="1" maximized="1" xWindow="-11" yWindow="-11" windowWidth="1942" windowHeight="1042" tabRatio="351" activeSheetId="1"/>
    <customWorkbookView name="Lenovo - Personal View" guid="{A8B30D1E-7EC0-4837-AB67-E8ADA658B937}" mergeInterval="0" personalView="1" maximized="1" xWindow="-9" yWindow="-9" windowWidth="1938" windowHeight="1048" tabRatio="497" activeSheetId="1"/>
    <customWorkbookView name="pda06 - Personal View" guid="{085F2103-108A-483C-AAD7-AC1049A79BF0}" mergeInterval="0" personalView="1" maximized="1" xWindow="-8" yWindow="-8" windowWidth="1936" windowHeight="1056" tabRatio="494" activeSheetId="1"/>
    <customWorkbookView name="qaa02 - Personal View" guid="{AA76D42C-FF81-4012-9724-37BEA4274EAD}" mergeInterval="0" personalView="1" maximized="1" xWindow="-8" yWindow="-8" windowWidth="1382" windowHeight="744" tabRatio="494" activeSheetId="1"/>
    <customWorkbookView name="wha08 - Personal View" guid="{12A57108-64EE-4143-BE7B-0E614C9693B7}" mergeInterval="0" personalView="1" maximized="1" xWindow="-8" yWindow="-8" windowWidth="1382" windowHeight="744" tabRatio="494" activeSheetId="1"/>
    <customWorkbookView name="pda07 - Personal View" guid="{14DE6746-EFE9-4648-B824-D04A77CB20AF}" mergeInterval="0" personalView="1" maximized="1" xWindow="-9" yWindow="-9" windowWidth="1938" windowHeight="1048" tabRatio="494" activeSheetId="1"/>
    <customWorkbookView name="wha01 - Personal View" guid="{571287FD-093D-4EDC-8BD3-D98642EB99C3}" mergeInterval="0" personalView="1" maximized="1" xWindow="-8" yWindow="-8" windowWidth="1936" windowHeight="1056" tabRatio="351" activeSheetId="1"/>
    <customWorkbookView name="Namfon - Personal View" guid="{164913D0-3186-418F-994C-26136ADFC9E1}" mergeInterval="0" personalView="1" maximized="1" xWindow="-8" yWindow="-8" windowWidth="1616" windowHeight="876" tabRatio="385" activeSheetId="1"/>
    <customWorkbookView name="Penpapa - Personal View" guid="{7AEB1C84-7DB4-414F-A8CA-192A6C6EEEBC}" mergeInterval="0" personalView="1" maximized="1" xWindow="-8" yWindow="-8" windowWidth="1616" windowHeight="876" tabRatio="275" activeSheetId="1" showComments="commIndAndComment"/>
    <customWorkbookView name="Kuk - Personal View" guid="{A7E5477A-F5D1-415E-ADAD-5AC42BF3F3CE}" mergeInterval="0" personalView="1" maximized="1" xWindow="-8" yWindow="-8" windowWidth="1616" windowHeight="876" tabRatio="302" activeSheetId="1" showComments="commIndAndComment"/>
    <customWorkbookView name="PPC : - Personal View" guid="{6233B2A6-887E-4361-9F18-F201DE1F4737}" mergeInterval="0" personalView="1" maximized="1" xWindow="-8" yWindow="-8" windowWidth="1616" windowHeight="876" tabRatio="275" activeSheetId="1"/>
    <customWorkbookView name="qaa15 - Personal View" guid="{9D751A57-40DA-49B8-9508-C6D7ED5E68F3}" mergeInterval="0" personalView="1" maximized="1" windowWidth="1347" windowHeight="506" tabRatio="351" activeSheetId="1"/>
    <customWorkbookView name="wha03 - Personal View" guid="{E7A00FAE-CEE3-4432-99AD-61BFF44ED7B2}" mergeInterval="0" personalView="1" maximized="1" xWindow="-8" yWindow="-8" windowWidth="1936" windowHeight="1056" tabRatio="494" activeSheetId="1"/>
    <customWorkbookView name="pn03 - Personal View" guid="{4B160FCE-E4E1-4C5F-A95A-098B4092602F}" mergeInterval="0" personalView="1" maximized="1" xWindow="-8" yWindow="-8" windowWidth="1382" windowHeight="744" tabRatio="351" activeSheetId="2"/>
    <customWorkbookView name="qaa04 - มุมมองส่วนบุคคล" guid="{F1DD1301-AC38-417E-9FDD-EF4BAF952014}" mergeInterval="0" personalView="1" maximized="1" xWindow="-8" yWindow="-8" windowWidth="1382" windowHeight="744" tabRatio="351" activeSheetId="2" showComments="commIndAndComment"/>
    <customWorkbookView name="qaa05 - Personal View" guid="{CBDFD7FD-13DC-4516-894B-851351BA6AB9}" mergeInterval="0" personalView="1" maximized="1" windowWidth="1362" windowHeight="543" tabRatio="351" activeSheetId="1"/>
    <customWorkbookView name="qaa07 - Personal View" guid="{97539152-52C8-4DC4-9652-C2441287C382}" mergeInterval="0" personalView="1" maximized="1" xWindow="-8" yWindow="-8" windowWidth="1382" windowHeight="744" tabRatio="494" activeSheetId="1"/>
    <customWorkbookView name="pna08 - Personal View" guid="{625D5130-06C8-4D06-A975-ABA68D083B42}" mergeInterval="0" personalView="1" maximized="1" xWindow="-8" yWindow="-8" windowWidth="1936" windowHeight="1056" tabRatio="273" activeSheetId="1"/>
    <customWorkbookView name="sfa01 - Personal View" guid="{D38BCB13-F037-4451-83C8-426AA15E9A23}" mergeInterval="0" personalView="1" maximized="1" windowWidth="1362" windowHeight="477" tabRatio="351" activeSheetId="1"/>
    <customWorkbookView name="mka03 - Personal View" guid="{FFA4E102-9562-4603-B4B7-1AA791121E50}" mergeInterval="0" personalView="1" maximized="1" xWindow="-8" yWindow="-8" windowWidth="1936" windowHeight="1056" tabRatio="273" activeSheetId="1"/>
    <customWorkbookView name="pra03 - Personal View" guid="{26F4FC40-0203-4AB2-999C-B727B44DE180}" mergeInterval="0" personalView="1" maximized="1" xWindow="-11" yWindow="-11" windowWidth="1942" windowHeight="1046" tabRatio="497" activeSheetId="1"/>
    <customWorkbookView name="qaa03 - Personal View" guid="{C2BD8B16-66E1-415D-BFAF-8EC20656B471}" mergeInterval="0" personalView="1" maximized="1" xWindow="-8" yWindow="-8" windowWidth="1936" windowHeight="1056" tabRatio="273" activeSheetId="1"/>
    <customWorkbookView name="pda09 - Personal View" guid="{A33059F9-880A-48B3-B760-652DEE2C0F24}" mergeInterval="0" personalView="1" maximized="1" xWindow="-8" yWindow="-8" windowWidth="1382" windowHeight="744" tabRatio="494" activeSheetId="1"/>
    <customWorkbookView name="pda08 - Personal View" guid="{237F4384-CDB9-4F0B-B39B-8D9D4FE9822F}" mergeInterval="0" personalView="1" maximized="1" xWindow="-8" yWindow="-8" windowWidth="1936" windowHeight="1056" tabRatio="497" activeSheetId="1"/>
    <customWorkbookView name="pna07 - Personal View" guid="{98415BE6-01A1-4743-8C25-780D87EBA836}" mergeInterval="0" personalView="1" maximized="1" xWindow="-8" yWindow="-8" windowWidth="1382" windowHeight="744" tabRatio="351" activeSheetId="1"/>
    <customWorkbookView name="ena02 - Personal View" guid="{F6E435B2-B188-488F-8598-AFC48570180D}" mergeInterval="0" personalView="1" maximized="1" windowWidth="1362" windowHeight="543" tabRatio="273" activeSheetId="1"/>
    <customWorkbookView name="pra02 - Personal View" guid="{4DDE8A91-C6DD-44C1-92EF-AB0B970F1E28}" mergeInterval="0" personalView="1" xWindow="104" yWindow="55" windowWidth="1663" windowHeight="886" tabRatio="494" activeSheetId="1" showFormulaBar="0"/>
    <customWorkbookView name="qaa06 - Personal View" guid="{8BDCE61A-B3F6-4F3F-A672-61D8A85D1956}" mergeInterval="0" personalView="1" maximized="1" xWindow="-8" yWindow="-8" windowWidth="1616" windowHeight="876" tabRatio="494" activeSheetId="1"/>
    <customWorkbookView name="en001 - มุมมองส่วนบุคคล" guid="{81AC8332-CC6D-4DF7-A113-DAE8234E2D58}" mergeInterval="0" personalView="1" maximized="1" xWindow="-8" yWindow="-8" windowWidth="1382" windowHeight="744" tabRatio="273" activeSheetId="1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D356" i="1" l="1"/>
  <c r="AD355" i="1"/>
  <c r="AD354" i="1"/>
  <c r="AD353" i="1"/>
  <c r="AD352" i="1"/>
  <c r="AD351" i="1"/>
  <c r="AD350" i="1"/>
  <c r="AD349" i="1"/>
  <c r="AD348" i="1"/>
  <c r="AE348" i="1" a="1"/>
  <c r="AE348" i="1" s="1"/>
  <c r="AE349" i="1" a="1"/>
  <c r="AE349" i="1" s="1"/>
  <c r="AE350" i="1" a="1"/>
  <c r="AE350" i="1" s="1"/>
  <c r="AE351" i="1" a="1"/>
  <c r="AE351" i="1" s="1"/>
  <c r="AE352" i="1" a="1"/>
  <c r="AE352" i="1" s="1"/>
  <c r="AE353" i="1" a="1"/>
  <c r="AE353" i="1" s="1"/>
  <c r="AE354" i="1" a="1"/>
  <c r="AE355" i="1" a="1"/>
  <c r="AE355" i="1" s="1"/>
  <c r="AE356" i="1" a="1"/>
  <c r="AE357" i="1" a="1"/>
  <c r="AE357" i="1" s="1"/>
  <c r="AE358" i="1" a="1"/>
  <c r="AE358" i="1" s="1"/>
  <c r="AE359" i="1" a="1"/>
  <c r="AE359" i="1" s="1"/>
  <c r="AE360" i="1" a="1"/>
  <c r="AE360" i="1" s="1"/>
  <c r="AE361" i="1" a="1"/>
  <c r="AE361" i="1" s="1"/>
  <c r="AE362" i="1" a="1"/>
  <c r="AE362" i="1" s="1"/>
  <c r="AG6" i="1"/>
  <c r="AE11" i="1" a="1"/>
  <c r="AE11" i="1" s="1"/>
  <c r="AD11" i="1"/>
  <c r="J2" i="1"/>
  <c r="F2" i="2" s="1"/>
  <c r="AH6" i="1"/>
  <c r="G4" i="1"/>
  <c r="AE356" i="1" l="1"/>
  <c r="AE354" i="1"/>
  <c r="L24" i="2" a="1"/>
  <c r="L24" i="2" s="1"/>
  <c r="H107" i="2" s="1"/>
  <c r="L22" i="2" a="1"/>
  <c r="L22" i="2" s="1"/>
  <c r="L16" i="2" a="1"/>
  <c r="L16" i="2" s="1"/>
  <c r="L20" i="2" a="1"/>
  <c r="L20" i="2" s="1"/>
  <c r="L13" i="2" a="1"/>
  <c r="L13" i="2" s="1"/>
  <c r="L4" i="2" a="1"/>
  <c r="L4" i="2" s="1"/>
  <c r="L11" i="2" a="1"/>
  <c r="L11" i="2" s="1"/>
  <c r="D47" i="2" s="1"/>
  <c r="L19" i="2" a="1"/>
  <c r="L19" i="2" s="1"/>
  <c r="L26" i="2" a="1"/>
  <c r="L26" i="2" s="1"/>
  <c r="H108" i="2" s="1"/>
  <c r="L9" i="2" a="1"/>
  <c r="L9" i="2" s="1"/>
  <c r="L6" i="2" a="1"/>
  <c r="L6" i="2" s="1"/>
  <c r="AL36" i="2" s="1"/>
  <c r="L15" i="2"/>
  <c r="D63" i="2" s="1" a="1"/>
  <c r="D63" i="2" s="1"/>
  <c r="L17" i="2" a="1"/>
  <c r="L17" i="2" s="1"/>
  <c r="F87" i="2" s="1"/>
  <c r="D87" i="2" s="1"/>
  <c r="L25" i="2" a="1"/>
  <c r="L25" i="2" s="1"/>
  <c r="N107" i="2" s="1"/>
  <c r="L23" i="2" a="1"/>
  <c r="L23" i="2" s="1"/>
  <c r="AE67" i="2" s="1"/>
  <c r="L12" i="2" a="1"/>
  <c r="L12" i="2" s="1"/>
  <c r="AB51" i="2" s="1"/>
  <c r="L8" i="2" a="1"/>
  <c r="L8" i="2" s="1"/>
  <c r="L10" i="2" a="1"/>
  <c r="L10" i="2" s="1"/>
  <c r="L5" i="2" a="1"/>
  <c r="L5" i="2" s="1"/>
  <c r="M38" i="2" s="1"/>
  <c r="L18" i="2" a="1"/>
  <c r="L18" i="2" s="1"/>
  <c r="AD87" i="2" s="1"/>
  <c r="L27" i="2" a="1"/>
  <c r="L27" i="2" s="1"/>
  <c r="N108" i="2" s="1"/>
  <c r="L21" i="2" a="1"/>
  <c r="L21" i="2" s="1"/>
  <c r="L14" i="2" a="1"/>
  <c r="L14" i="2" s="1"/>
  <c r="D78" i="2" s="1"/>
  <c r="L7" i="2" a="1"/>
  <c r="L7" i="2" s="1"/>
  <c r="AL38" i="2" s="1"/>
  <c r="AL33" i="2"/>
  <c r="AL31" i="2" s="1"/>
  <c r="G67" i="2" l="1"/>
  <c r="AE42" i="2" a="1"/>
  <c r="AE42" i="2" s="1"/>
  <c r="I119" i="2"/>
  <c r="I120" i="2" s="1"/>
  <c r="D69" i="2" a="1"/>
  <c r="D69" i="2" s="1"/>
  <c r="D71" i="2" a="1"/>
  <c r="D71" i="2" s="1"/>
  <c r="G75" i="2" s="1"/>
  <c r="AD63" i="2" a="1"/>
  <c r="AD63" i="2" s="1"/>
  <c r="AL63" i="2" a="1"/>
  <c r="AL63" i="2" s="1"/>
  <c r="AJ65" i="2" s="1"/>
  <c r="M44" i="2" a="1"/>
  <c r="M44" i="2" s="1"/>
  <c r="U44" i="2" a="1"/>
  <c r="U44" i="2" s="1"/>
  <c r="U42" i="2" a="1"/>
  <c r="U42" i="2" s="1"/>
  <c r="AE40" i="2" a="1"/>
  <c r="AE40" i="2" s="1"/>
  <c r="U40" i="2"/>
  <c r="AM40" i="2" a="1"/>
  <c r="AM40" i="2" s="1"/>
  <c r="D59" i="2" a="1"/>
  <c r="D59" i="2" s="1"/>
  <c r="R59" i="2" a="1"/>
  <c r="R59" i="2" s="1"/>
  <c r="AF57" i="2" a="1"/>
  <c r="AF57" i="2" s="1"/>
  <c r="AF59" i="2" a="1"/>
  <c r="AF59" i="2" s="1"/>
  <c r="D57" i="2"/>
  <c r="R57" i="2" a="1"/>
  <c r="R57" i="2" s="1"/>
  <c r="I121" i="2" l="1"/>
  <c r="I122" i="2" s="1"/>
  <c r="K109" i="2" s="1"/>
  <c r="AM109" i="2" s="1"/>
</calcChain>
</file>

<file path=xl/sharedStrings.xml><?xml version="1.0" encoding="utf-8"?>
<sst xmlns="http://schemas.openxmlformats.org/spreadsheetml/2006/main" count="1252" uniqueCount="815">
  <si>
    <t>ITEMS</t>
  </si>
  <si>
    <t>PERIOD :</t>
  </si>
  <si>
    <t>JOB NO.</t>
  </si>
  <si>
    <t>DATE &amp; TIME :</t>
  </si>
  <si>
    <t>REMARK</t>
  </si>
  <si>
    <t>รายการ</t>
  </si>
  <si>
    <t>ผู้รับผิดชอบ</t>
  </si>
  <si>
    <t>หมายเหตุ</t>
  </si>
  <si>
    <t>RESPONSIBLE</t>
  </si>
  <si>
    <t>MT_JOB NO.</t>
  </si>
  <si>
    <t>REQUEST DATE</t>
  </si>
  <si>
    <t>เลขที่เอกสาร</t>
  </si>
  <si>
    <t>เวลาแจ้ง</t>
  </si>
  <si>
    <t>แผนก</t>
  </si>
  <si>
    <t>REQUEST TIME</t>
  </si>
  <si>
    <t>ชื่อเครื่องจักร</t>
  </si>
  <si>
    <t>MACHINE NAME</t>
  </si>
  <si>
    <t>ลักษณะงาน</t>
  </si>
  <si>
    <t>A-RW-02</t>
  </si>
  <si>
    <t>รายละเอียดของปัญหา</t>
  </si>
  <si>
    <t>JOB DESCRIPTION</t>
  </si>
  <si>
    <t>MACHINE STATUS</t>
  </si>
  <si>
    <t>สถานะเครื่องจักร</t>
  </si>
  <si>
    <t>ใบแจ้งซ่อมและรายงานการซ่อม</t>
  </si>
  <si>
    <t>MAINTENANCE JOB REQUEST AND REPORT</t>
  </si>
  <si>
    <t xml:space="preserve">  สำหรับผู้แจ้งซ่อม (For Requestor)</t>
  </si>
  <si>
    <t xml:space="preserve">  สำหรับแผนกวิศวกรรม (For Engineering Dpet.)</t>
  </si>
  <si>
    <t>ชื่อเครื่องจักร (Machine Name)</t>
  </si>
  <si>
    <t>วันที่แจ้ง (Request Date)</t>
  </si>
  <si>
    <t>เวลาแจ้ง (Request Time)</t>
  </si>
  <si>
    <t xml:space="preserve">  เครื่องจักร (Machinery)</t>
  </si>
  <si>
    <t xml:space="preserve">  โครงสร้างพื้นฐาน (Facilities)</t>
  </si>
  <si>
    <t xml:space="preserve">  อื่นๆ (Other)</t>
  </si>
  <si>
    <t xml:space="preserve">  ปรับปรุง/ ดัดแปลง (Modify)</t>
  </si>
  <si>
    <t xml:space="preserve">  สร้าง/ จัดทำใหม่ (Build)</t>
  </si>
  <si>
    <t xml:space="preserve">  ไม่มีจุดเสี่ยงต่อการปนเปื้อนจากการซ่อมบำรุง (No risk of contamination from maintenance)</t>
  </si>
  <si>
    <t xml:space="preserve">  มีจุดเสี่ยงต่อการปนเปื้อนจากการซ่อมบำรุง (There is a risk of contamination from maintenance)</t>
  </si>
  <si>
    <t>เวลาทำงานทั้งหมด/ วัน (B)</t>
  </si>
  <si>
    <t>เวลาทำงานทั้งหมด/ วัน = 24 ชั่วโมง</t>
  </si>
  <si>
    <t>แปลงหน่วย (ชั่วโมง) เป็น (นาที) → (24 x 60) = 1,440 นาที</t>
  </si>
  <si>
    <t>ดังนั้น เวลาทำงานทั้งหมด/ วัน = 1,440 นาที</t>
  </si>
  <si>
    <t>A</t>
  </si>
  <si>
    <t>B</t>
  </si>
  <si>
    <t>X</t>
  </si>
  <si>
    <t>=</t>
  </si>
  <si>
    <t>%</t>
  </si>
  <si>
    <t>จำนวน</t>
  </si>
  <si>
    <t>(Quantity)</t>
  </si>
  <si>
    <t>(Remark)</t>
  </si>
  <si>
    <t>ลำดับ</t>
  </si>
  <si>
    <t>(No.)</t>
  </si>
  <si>
    <t xml:space="preserve">  เก็บอุปกรณ์เรียบร้อย/ มีการทำความสะอาด และเครื่องจักรสามารถใช้งานได้ตามปกติ</t>
  </si>
  <si>
    <t xml:space="preserve">  มีสิ่งปนเปื้อนจากการซ่อมบำรุง (Contaminated from maintenance)</t>
  </si>
  <si>
    <t xml:space="preserve">  (Keep the tools/ cleaning are complete and the machine can be used normally)</t>
  </si>
  <si>
    <t>รายการตรวจเช็คสภาพเครื่องมือ (Tool condition inspection list)</t>
  </si>
  <si>
    <t>สภาพก่อนใช้งาน</t>
  </si>
  <si>
    <t>สภาพหลังการใช้งาน</t>
  </si>
  <si>
    <t>(Condition after use)</t>
  </si>
  <si>
    <t xml:space="preserve"> (Condition before use)</t>
  </si>
  <si>
    <t>ชำรุด</t>
  </si>
  <si>
    <t>ดี</t>
  </si>
  <si>
    <t>รายการเครื่องมือ
(Tools list)</t>
  </si>
  <si>
    <r>
      <rPr>
        <b/>
        <sz val="12"/>
        <color theme="1"/>
        <rFont val="Yu Gothic"/>
        <family val="2"/>
      </rPr>
      <t>※</t>
    </r>
    <r>
      <rPr>
        <b/>
        <sz val="16"/>
        <color theme="1"/>
        <rFont val="Yu Gothic"/>
        <family val="2"/>
      </rPr>
      <t xml:space="preserve"> </t>
    </r>
    <r>
      <rPr>
        <b/>
        <sz val="18"/>
        <color theme="1"/>
        <rFont val="Angsana New"/>
        <family val="1"/>
      </rPr>
      <t>สาเหตุของปัญหา (Root Cause)</t>
    </r>
  </si>
  <si>
    <r>
      <rPr>
        <b/>
        <sz val="12"/>
        <color theme="1"/>
        <rFont val="Yu Gothic"/>
        <family val="2"/>
      </rPr>
      <t>※</t>
    </r>
    <r>
      <rPr>
        <b/>
        <sz val="14"/>
        <color theme="1"/>
        <rFont val="Yu Gothic"/>
        <family val="2"/>
      </rPr>
      <t xml:space="preserve"> </t>
    </r>
    <r>
      <rPr>
        <b/>
        <sz val="18"/>
        <color theme="1"/>
        <rFont val="Angsana New"/>
        <family val="1"/>
      </rPr>
      <t>รายละเอียดการซ่อม/ เปลี่ยนอะไหล่ (Details of Maintenance / Change spare part)</t>
    </r>
  </si>
  <si>
    <r>
      <t xml:space="preserve">  </t>
    </r>
    <r>
      <rPr>
        <b/>
        <sz val="16"/>
        <color theme="1"/>
        <rFont val="Yu Gothic UI"/>
        <family val="2"/>
      </rPr>
      <t>☞</t>
    </r>
  </si>
  <si>
    <r>
      <t xml:space="preserve">  </t>
    </r>
    <r>
      <rPr>
        <b/>
        <sz val="12"/>
        <color theme="1"/>
        <rFont val="Yu Gothic"/>
        <family val="2"/>
      </rPr>
      <t>◉</t>
    </r>
    <r>
      <rPr>
        <b/>
        <i/>
        <sz val="12.8"/>
        <color theme="1"/>
        <rFont val="Angsana New"/>
        <family val="1"/>
      </rPr>
      <t xml:space="preserve"> </t>
    </r>
    <r>
      <rPr>
        <b/>
        <i/>
        <sz val="16"/>
        <color theme="1"/>
        <rFont val="Angsana New"/>
        <family val="1"/>
      </rPr>
      <t>วิธีการแก้ไขป้องกันการปนเปื้อน (How to prevent the contamination)</t>
    </r>
  </si>
  <si>
    <r>
      <rPr>
        <b/>
        <sz val="12"/>
        <color theme="1"/>
        <rFont val="Yu Gothic"/>
        <family val="2"/>
      </rPr>
      <t>※</t>
    </r>
    <r>
      <rPr>
        <b/>
        <sz val="12.8"/>
        <color theme="1"/>
        <rFont val="Angsana New"/>
        <family val="1"/>
      </rPr>
      <t xml:space="preserve"> </t>
    </r>
    <r>
      <rPr>
        <b/>
        <sz val="18"/>
        <color theme="1"/>
        <rFont val="Angsana New"/>
        <family val="1"/>
      </rPr>
      <t>รายละเอียดของปัญหา (Problem Description)</t>
    </r>
  </si>
  <si>
    <r>
      <rPr>
        <b/>
        <sz val="12"/>
        <color theme="1"/>
        <rFont val="Yu Gothic"/>
        <family val="2"/>
      </rPr>
      <t>※</t>
    </r>
    <r>
      <rPr>
        <b/>
        <sz val="16"/>
        <color theme="1"/>
        <rFont val="Angsana New"/>
        <family val="1"/>
      </rPr>
      <t xml:space="preserve"> </t>
    </r>
    <r>
      <rPr>
        <b/>
        <sz val="18"/>
        <color theme="1"/>
        <rFont val="Angsana New"/>
        <family val="1"/>
      </rPr>
      <t>รายละเอียดการซ่อม (Maintenance Detail)</t>
    </r>
  </si>
  <si>
    <r>
      <rPr>
        <b/>
        <sz val="16"/>
        <color theme="1"/>
        <rFont val="Yu Gothic UI"/>
        <family val="2"/>
      </rPr>
      <t xml:space="preserve">  </t>
    </r>
    <r>
      <rPr>
        <b/>
        <sz val="12"/>
        <color theme="1"/>
        <rFont val="Yu Gothic UI"/>
        <family val="2"/>
      </rPr>
      <t>◉</t>
    </r>
    <r>
      <rPr>
        <b/>
        <sz val="16"/>
        <color theme="1"/>
        <rFont val="Yu Gothic UI"/>
        <family val="2"/>
      </rPr>
      <t xml:space="preserve"> </t>
    </r>
    <r>
      <rPr>
        <b/>
        <sz val="16"/>
        <color theme="1"/>
        <rFont val="Angsana New"/>
        <family val="1"/>
      </rPr>
      <t>การดำเนินการแก้ไขกับการปนเปื้อน (Corrective actions for the contaminated)</t>
    </r>
  </si>
  <si>
    <t>เลขที่ใบแจ้งซ่อม (Document No.)</t>
  </si>
  <si>
    <t xml:space="preserve">  ไม่มีสิ่งปนเปื้อนตกค้าง (No residual contaminants)</t>
  </si>
  <si>
    <t xml:space="preserve">  การซ่อมยังไม่เรียบร้อย/ ให้ดำเนินการ (The maintenance is not complete/ please action)</t>
  </si>
  <si>
    <t xml:space="preserve">  (Temporary maintenance for wait spare part, will change new spare part within date...)</t>
  </si>
  <si>
    <t xml:space="preserve">  ภายใน (Internal)</t>
  </si>
  <si>
    <t xml:space="preserve">  ภายนอก (External)</t>
  </si>
  <si>
    <t>1)</t>
  </si>
  <si>
    <t>2)</t>
  </si>
  <si>
    <t>3)</t>
  </si>
  <si>
    <t>4)</t>
  </si>
  <si>
    <t>5)</t>
  </si>
  <si>
    <t>ปฐมพร แก้วกก</t>
  </si>
  <si>
    <t xml:space="preserve">  (หัวหน้าแผนกวิศวกรรม)</t>
  </si>
  <si>
    <t xml:space="preserve">  (ผู้ซ่อม)</t>
  </si>
  <si>
    <t xml:space="preserve">ลงชื่อ :  </t>
  </si>
  <si>
    <t xml:space="preserve">ลงชื่อ : </t>
  </si>
  <si>
    <t xml:space="preserve">  (ผู้แจ้งซ่อม)</t>
  </si>
  <si>
    <t xml:space="preserve">  วันที่เริ่มซ่อม : </t>
  </si>
  <si>
    <t xml:space="preserve">  วันที่ซ่อมเสร็จ : </t>
  </si>
  <si>
    <t xml:space="preserve">เวลา : </t>
  </si>
  <si>
    <t xml:space="preserve">  ระยะเวลาดำเนินงาน : </t>
  </si>
  <si>
    <t xml:space="preserve">      ลงชื่อ : </t>
  </si>
  <si>
    <t xml:space="preserve">      วันที่ : </t>
  </si>
  <si>
    <t xml:space="preserve">  (ผู้ตรวจรับ)</t>
  </si>
  <si>
    <t xml:space="preserve">  ซ่อมแบบชั่วคราวเพื่อรออะไหล่, และจะเปลี่ยนอะไหล่ใหม่ภายใน …</t>
  </si>
  <si>
    <t>เวลาที่เครื่องจักรเสีย (A)</t>
  </si>
  <si>
    <t xml:space="preserve">  นาที</t>
  </si>
  <si>
    <t>*สูตรการคำนวณ (Cal. Percentage)</t>
  </si>
  <si>
    <r>
      <t xml:space="preserve">    </t>
    </r>
    <r>
      <rPr>
        <b/>
        <u/>
        <sz val="16"/>
        <color theme="1"/>
        <rFont val="Angsana New"/>
        <family val="1"/>
      </rPr>
      <t>เป้าหมาย</t>
    </r>
    <r>
      <rPr>
        <b/>
        <sz val="16"/>
        <color theme="1"/>
        <rFont val="Angsana New"/>
        <family val="1"/>
      </rPr>
      <t xml:space="preserve">: เวลาในการซ่อมบำรุงเครื่องจักร </t>
    </r>
    <r>
      <rPr>
        <b/>
        <sz val="12"/>
        <color theme="1"/>
        <rFont val="Yu Gothic UI"/>
        <family val="2"/>
      </rPr>
      <t>≤</t>
    </r>
    <r>
      <rPr>
        <b/>
        <sz val="16"/>
        <color theme="1"/>
        <rFont val="Angsana New"/>
        <family val="1"/>
      </rPr>
      <t xml:space="preserve"> 5% ของเวลาทำงานต่อวัน
   * หมายเหตุ: เป้าหมายจะคำนวณเฉพาะการซ่อมเครื่องจักรแบบหยุดกรณีฉุกเฉินเท่านั้น (Break down)</t>
    </r>
  </si>
  <si>
    <t>Index</t>
  </si>
  <si>
    <t>Job_No</t>
  </si>
  <si>
    <t>Printing</t>
  </si>
  <si>
    <t>Dry Laminate</t>
  </si>
  <si>
    <t>Rewinder</t>
  </si>
  <si>
    <t>Slitter</t>
  </si>
  <si>
    <t>Machinery</t>
  </si>
  <si>
    <t>Machine Name</t>
  </si>
  <si>
    <t>MachineCode</t>
  </si>
  <si>
    <t>MachineName</t>
  </si>
  <si>
    <t>A-PT-01</t>
  </si>
  <si>
    <t>A-PT-02</t>
  </si>
  <si>
    <t>A-DL-01</t>
  </si>
  <si>
    <t>A-DL-02</t>
  </si>
  <si>
    <t>A-DL-03</t>
  </si>
  <si>
    <t>A-ST-01</t>
  </si>
  <si>
    <t>A-ST-02</t>
  </si>
  <si>
    <t>A-RW-01</t>
  </si>
  <si>
    <t>A-RW-03</t>
  </si>
  <si>
    <t>A-RW-04</t>
  </si>
  <si>
    <t>A-RW-05</t>
  </si>
  <si>
    <t>A-RW-06</t>
  </si>
  <si>
    <t>A-RW-07</t>
  </si>
  <si>
    <t>A-RW-08</t>
  </si>
  <si>
    <t>A-ST-03</t>
  </si>
  <si>
    <t>Bag Making</t>
  </si>
  <si>
    <t>Warehouse</t>
  </si>
  <si>
    <t>Human Resource</t>
  </si>
  <si>
    <t>Department</t>
  </si>
  <si>
    <t>Requestors</t>
  </si>
  <si>
    <t>MaintenanceTeam</t>
  </si>
  <si>
    <t>Cal.Time</t>
  </si>
  <si>
    <t>TotalTime =</t>
  </si>
  <si>
    <t>Convert to Minute =</t>
  </si>
  <si>
    <t>Hour =</t>
  </si>
  <si>
    <t>Minute =</t>
  </si>
  <si>
    <t>แผนก/ หน่วยงาน (Dept.)</t>
  </si>
  <si>
    <t>JobType</t>
  </si>
  <si>
    <t>JobDescription</t>
  </si>
  <si>
    <t>MachineStatus</t>
  </si>
  <si>
    <t>Facilities</t>
  </si>
  <si>
    <t>Other</t>
  </si>
  <si>
    <t>Maintenance</t>
  </si>
  <si>
    <t>Modify</t>
  </si>
  <si>
    <t>Build</t>
  </si>
  <si>
    <t>Break Down</t>
  </si>
  <si>
    <t>Wait for Maintenance</t>
  </si>
  <si>
    <t>JOB TYPE</t>
  </si>
  <si>
    <t>ประเภทงาน</t>
  </si>
  <si>
    <t>DEPARTMENT</t>
  </si>
  <si>
    <t>REQUESTOR</t>
  </si>
  <si>
    <t>V.210520</t>
  </si>
  <si>
    <t>PROBLEM DESCRIPTION</t>
  </si>
  <si>
    <t>JOB STATUS</t>
  </si>
  <si>
    <t>JobStatus</t>
  </si>
  <si>
    <t>Wait</t>
  </si>
  <si>
    <t>Cancelled</t>
  </si>
  <si>
    <t>Completed</t>
  </si>
  <si>
    <t>Release</t>
  </si>
  <si>
    <t>Description</t>
  </si>
  <si>
    <t>Dept.</t>
  </si>
  <si>
    <t>วันทนี อัศวไกรศรี</t>
  </si>
  <si>
    <t>จิณณพัต แซ่เติ๋น</t>
  </si>
  <si>
    <t>ณรงค์ เกษมใจ</t>
  </si>
  <si>
    <t>เทียนทอง มีอบ</t>
  </si>
  <si>
    <t>ดนุพล ฤทธิ์นอก</t>
  </si>
  <si>
    <t xml:space="preserve">อธิคม คูณปล้อง  </t>
  </si>
  <si>
    <t>ภัควลัญชญ์ สวัสดีสุข</t>
  </si>
  <si>
    <t>จันปู ตรงจิตรชาวไพร</t>
  </si>
  <si>
    <t>พิษณุ ดารก</t>
  </si>
  <si>
    <t>ศุภรักษ์ อุไรวรณ์</t>
  </si>
  <si>
    <t>สำราญ คุ้มสุวรรณ</t>
  </si>
  <si>
    <t>Root Cause</t>
  </si>
  <si>
    <t>สาเหตุของปัญหา</t>
  </si>
  <si>
    <t>RootCause</t>
  </si>
  <si>
    <t>อะไหล่เสื่อมคุณภาพ</t>
  </si>
  <si>
    <t>ขาดการบำรุงรักษา</t>
  </si>
  <si>
    <t>ไม่ได้ซ่อมบำรุงตามแผน</t>
  </si>
  <si>
    <t>ใช้งานผิดประเภท</t>
  </si>
  <si>
    <t>อุบัติเหตุ</t>
  </si>
  <si>
    <t>อื่นๆ</t>
  </si>
  <si>
    <t>Printing Machine No.1</t>
  </si>
  <si>
    <t>Printing Machine No.2</t>
  </si>
  <si>
    <t>Dry Laminate Machine No.1</t>
  </si>
  <si>
    <t>Dry Laminate Machine No.2</t>
  </si>
  <si>
    <t>Dry Laminate Machine No.3</t>
  </si>
  <si>
    <t>Rewinder Machine No.1</t>
  </si>
  <si>
    <t>Rewinder Machine No.2</t>
  </si>
  <si>
    <t>Rewinder Machine No.3</t>
  </si>
  <si>
    <t>Rewinder Machine No.4</t>
  </si>
  <si>
    <t>Rewinder Machine No.5</t>
  </si>
  <si>
    <t>Rewinder Machine No.6</t>
  </si>
  <si>
    <t>Rewinder Machine No.7</t>
  </si>
  <si>
    <t>Rewinder Machine No.8</t>
  </si>
  <si>
    <t>Slitter Machine No.1</t>
  </si>
  <si>
    <t>Slitter Machine No.2</t>
  </si>
  <si>
    <t>Slitter Machine No.3</t>
  </si>
  <si>
    <t>Bag Making Machine No.1</t>
  </si>
  <si>
    <t>Bag Making Machine No.2</t>
  </si>
  <si>
    <t>Bag Making Machine No.3</t>
  </si>
  <si>
    <t>Bag Making Machine No.4</t>
  </si>
  <si>
    <t>Bag Making Machine No.5</t>
  </si>
  <si>
    <t>Bag Making Machine No.6</t>
  </si>
  <si>
    <t>รายละเอียดการซ่อม</t>
  </si>
  <si>
    <t>การดำเนินการ</t>
  </si>
  <si>
    <t>ไม่มีจุดเสี่ยงต่อการปนเปื้อน</t>
  </si>
  <si>
    <t>ซ่อมแบบชั่วคราว</t>
  </si>
  <si>
    <t>มีจุดเสี่ยงต่อการปนเปื้อน</t>
  </si>
  <si>
    <t>* กรณีภายนอกโดย</t>
  </si>
  <si>
    <t>ผู้ปฏิบัติงาน</t>
  </si>
  <si>
    <t>ภายใน</t>
  </si>
  <si>
    <t>ภายนอก (โดย)</t>
  </si>
  <si>
    <t>ผู้ตรวจรับ</t>
  </si>
  <si>
    <t>Finish Date</t>
  </si>
  <si>
    <t>Finish Time</t>
  </si>
  <si>
    <t>วันที่ซ่อม</t>
  </si>
  <si>
    <t>เวลาซ่อม</t>
  </si>
  <si>
    <t>วันที่เสร็จ</t>
  </si>
  <si>
    <t>เวลาเสร็จ</t>
  </si>
  <si>
    <t>เวลาหยุด</t>
  </si>
  <si>
    <t>Topics</t>
  </si>
  <si>
    <t>Request Date</t>
  </si>
  <si>
    <t>Request Time</t>
  </si>
  <si>
    <t>Job Type</t>
  </si>
  <si>
    <t>Job Description</t>
  </si>
  <si>
    <t>Machine Status</t>
  </si>
  <si>
    <t>Problem Description</t>
  </si>
  <si>
    <t>Requestor</t>
  </si>
  <si>
    <t>Responsibility</t>
  </si>
  <si>
    <t>Color Match</t>
  </si>
  <si>
    <t>สุชาติ เล็กน้อย</t>
  </si>
  <si>
    <t>Packing</t>
  </si>
  <si>
    <t>QC &amp; QA</t>
  </si>
  <si>
    <t>Safety</t>
  </si>
  <si>
    <t>ณัฐวัฒน์ เอนกพงษ์ภักดี</t>
  </si>
  <si>
    <t>Maintenance Description</t>
  </si>
  <si>
    <t>ตรวจสอบการปนเปื้อน</t>
  </si>
  <si>
    <t>Contaminate Checking</t>
  </si>
  <si>
    <t xml:space="preserve">Note </t>
  </si>
  <si>
    <t>ContaminateCheck</t>
  </si>
  <si>
    <t>Operator</t>
  </si>
  <si>
    <t>ภายนอก</t>
  </si>
  <si>
    <r>
      <rPr>
        <b/>
        <sz val="12"/>
        <color theme="1"/>
        <rFont val="Yu Gothic"/>
        <family val="2"/>
      </rPr>
      <t xml:space="preserve">※ </t>
    </r>
    <r>
      <rPr>
        <b/>
        <sz val="18"/>
        <color theme="1"/>
        <rFont val="Angsana New"/>
        <family val="1"/>
      </rPr>
      <t>การตรวจสอบหลังการซ่อม โดยผู้ตรวจรับงาน (Checking by Client)</t>
    </r>
  </si>
  <si>
    <t>Maintenenace Date</t>
  </si>
  <si>
    <t>Maintenance Time</t>
  </si>
  <si>
    <t>บันทึกการซ่อม</t>
  </si>
  <si>
    <t>MAINTENANCE NOTE</t>
  </si>
  <si>
    <t>ROOT CAUSE</t>
  </si>
  <si>
    <t>MAINTENANCE DESCRIPTION</t>
  </si>
  <si>
    <t>CONTAMINATE CHECKING</t>
  </si>
  <si>
    <t>OUTSOURCE BY</t>
  </si>
  <si>
    <t>START DATE</t>
  </si>
  <si>
    <t>START TIME</t>
  </si>
  <si>
    <t>FINISH DATE</t>
  </si>
  <si>
    <t>FINISH TIME</t>
  </si>
  <si>
    <t>MTN. TIME</t>
  </si>
  <si>
    <t>BD.TIME</t>
  </si>
  <si>
    <t>CHECKED BY</t>
  </si>
  <si>
    <t>Q'TY.</t>
  </si>
  <si>
    <t>SPARE PARTS USED</t>
  </si>
  <si>
    <t>(Spare parts used)</t>
  </si>
  <si>
    <t>รายการอะไหล่ที่ใช้</t>
  </si>
  <si>
    <t>บันทึกรายการอะไหล่ที่ใช้ (Spare parts used record)</t>
  </si>
  <si>
    <t>Outsource By</t>
  </si>
  <si>
    <t>MAKER BY</t>
  </si>
  <si>
    <t>Maker By</t>
  </si>
  <si>
    <r>
      <rPr>
        <b/>
        <sz val="12"/>
        <color theme="1"/>
        <rFont val="Yu Gothic"/>
        <family val="2"/>
      </rPr>
      <t>※</t>
    </r>
    <r>
      <rPr>
        <b/>
        <sz val="14"/>
        <color theme="1"/>
        <rFont val="Yu Gothic"/>
        <family val="2"/>
      </rPr>
      <t xml:space="preserve"> </t>
    </r>
    <r>
      <rPr>
        <b/>
        <sz val="18"/>
        <color theme="1"/>
        <rFont val="Angsana New"/>
        <family val="1"/>
      </rPr>
      <t>ผู้ปฏิบัติงาน (Maker By)</t>
    </r>
  </si>
  <si>
    <t>Maintenance Note</t>
  </si>
  <si>
    <t>MTN. ACTION</t>
  </si>
  <si>
    <t>มาตรการป้องกัน</t>
  </si>
  <si>
    <t>CORRECTIVE ACTION</t>
  </si>
  <si>
    <t>Corrective Action</t>
  </si>
  <si>
    <t>Maintenance Action</t>
  </si>
  <si>
    <t>ชื่อผู้แจ้ง</t>
  </si>
  <si>
    <t>ORDER RECORD</t>
  </si>
  <si>
    <t xml:space="preserve">  ไม่ได้ซ่อมบำรุงตามแผน (Not planned maintenance)</t>
  </si>
  <si>
    <r>
      <rPr>
        <b/>
        <sz val="12"/>
        <color theme="1"/>
        <rFont val="Yu Gothic UI"/>
        <family val="2"/>
      </rPr>
      <t xml:space="preserve">  Ⓐ</t>
    </r>
    <r>
      <rPr>
        <b/>
        <sz val="12.8"/>
        <color theme="1"/>
        <rFont val="Angsana New"/>
        <family val="1"/>
      </rPr>
      <t xml:space="preserve"> </t>
    </r>
    <r>
      <rPr>
        <b/>
        <sz val="16"/>
        <color theme="1"/>
        <rFont val="Angsana New"/>
        <family val="1"/>
      </rPr>
      <t>ประเภทงาน (Job Type)</t>
    </r>
  </si>
  <si>
    <r>
      <rPr>
        <b/>
        <sz val="12"/>
        <color theme="1"/>
        <rFont val="Yu Gothic UI"/>
        <family val="2"/>
      </rPr>
      <t xml:space="preserve">  Ⓑ</t>
    </r>
    <r>
      <rPr>
        <b/>
        <sz val="12.8"/>
        <color theme="1"/>
        <rFont val="Angsana New"/>
        <family val="1"/>
      </rPr>
      <t xml:space="preserve"> </t>
    </r>
    <r>
      <rPr>
        <b/>
        <sz val="16"/>
        <color theme="1"/>
        <rFont val="Angsana New"/>
        <family val="1"/>
      </rPr>
      <t>ลักษณะงาน (Job Description)</t>
    </r>
  </si>
  <si>
    <r>
      <rPr>
        <b/>
        <sz val="12"/>
        <color theme="1"/>
        <rFont val="Yu Gothic UI"/>
        <family val="2"/>
      </rPr>
      <t xml:space="preserve">  Ⓒ</t>
    </r>
    <r>
      <rPr>
        <b/>
        <sz val="12"/>
        <color theme="1"/>
        <rFont val="Angsana New"/>
        <family val="1"/>
      </rPr>
      <t xml:space="preserve"> </t>
    </r>
    <r>
      <rPr>
        <b/>
        <sz val="16"/>
        <color theme="1"/>
        <rFont val="Angsana New"/>
        <family val="1"/>
      </rPr>
      <t>สถานะเครื่องจักร (Machine Status)</t>
    </r>
  </si>
  <si>
    <t xml:space="preserve">  อะไหล่เสื่อมคุณภาพ (Deterioration of parts)</t>
  </si>
  <si>
    <t xml:space="preserve">  ใช้งานผิดประเภท (Misused)</t>
  </si>
  <si>
    <t xml:space="preserve">  ขาดการบำรุงรักษา (Lack of proper maintenance)</t>
  </si>
  <si>
    <t xml:space="preserve">  อุบัติเหตุ (Accident)</t>
  </si>
  <si>
    <t>Spare parts used</t>
  </si>
  <si>
    <t>Unit</t>
  </si>
  <si>
    <t>สถานะ</t>
  </si>
  <si>
    <t>อะไหล่ที่เปลี่ยน</t>
  </si>
  <si>
    <t>MAINTENANCE JOB ORDER AND REPORT</t>
  </si>
  <si>
    <t>INDEX:  MACHINE JOB ORDER RECORD</t>
  </si>
  <si>
    <t>ศุปราณี ดวงมณี</t>
  </si>
  <si>
    <t xml:space="preserve">  ซ่อมบำรุง (Maintenance)</t>
  </si>
  <si>
    <t>-</t>
  </si>
  <si>
    <t>สุเชาว์  แสงสุวรรณ</t>
  </si>
  <si>
    <t>.</t>
  </si>
  <si>
    <t>1 Pcs</t>
  </si>
  <si>
    <t xml:space="preserve">  </t>
  </si>
  <si>
    <t>กระบวนการของงานซ่อมบำรุง (Deployment Flow Chart)</t>
  </si>
  <si>
    <t xml:space="preserve">  Document No.</t>
  </si>
  <si>
    <t xml:space="preserve">  SD-EN-XX  Rev.00</t>
  </si>
  <si>
    <t xml:space="preserve">  Effective Date</t>
  </si>
  <si>
    <t xml:space="preserve">  24/05/2021</t>
  </si>
  <si>
    <t>กระบวนการ</t>
  </si>
  <si>
    <t>ฝ่ายผลิต</t>
  </si>
  <si>
    <t>แผนกวิศวกรรม</t>
  </si>
  <si>
    <t>ผู้จัดการโรงงาน</t>
  </si>
  <si>
    <t>แผนกจัดซื้อ/ จัดจ้าง</t>
  </si>
  <si>
    <t>หน่วยงานภายนอก</t>
  </si>
  <si>
    <t>เอกสารที่เกี่ยวข้อง</t>
  </si>
  <si>
    <t>(Process)</t>
  </si>
  <si>
    <t>(Production Dept.)</t>
  </si>
  <si>
    <t>(Engineering Dept.)</t>
  </si>
  <si>
    <t>(Factory Manager)</t>
  </si>
  <si>
    <t>(Purchasing Dept.)</t>
  </si>
  <si>
    <t>(Maker/ Outsource)</t>
  </si>
  <si>
    <t>(Document)</t>
  </si>
  <si>
    <t>การแจ้งงานซ่อมบำรุงกรณีเครื่องจักรเสีย</t>
  </si>
  <si>
    <t>เริ่มต้น (Start process)</t>
  </si>
  <si>
    <t>ใบแจ้งซ่อม (F-EN-03 )</t>
  </si>
  <si>
    <t>*กรณีเครื่องจักรเสียให้หัวหน้าแผนก</t>
  </si>
  <si>
    <t xml:space="preserve">  - หัวหน้าแผนก ดำเนินการแจ้งซ่อม ผ่านช่องทาง</t>
  </si>
  <si>
    <t>แจ้งผู้จัดการแผนกรับทราบทุกครัง</t>
  </si>
  <si>
    <t>1) V:\1) PPC_DATA CENTER\Maintenance</t>
  </si>
  <si>
    <t>2) Ext.132</t>
  </si>
  <si>
    <t>แผนกวิศวกรรม รับแจ้งงานซ่อมบำรุงเครื่องจักร</t>
  </si>
  <si>
    <t>ใบเสนอราคา (Quotation)</t>
  </si>
  <si>
    <t>*กรณีประเมินการซ่อมแล้ว</t>
  </si>
  <si>
    <t>ดำเนินการซ่อม และบันทึการซ่อมบำรุงเครื่องจักร</t>
  </si>
  <si>
    <t>ใบขอซื้อ (F-PU-01)</t>
  </si>
  <si>
    <t>พบว่ามีผลกระทบต่อการผลิต</t>
  </si>
  <si>
    <t xml:space="preserve">  - เจ้าหน้าที่แผนกวิศวกรรมรับแจ้ง ผ่านช่องทาง</t>
  </si>
  <si>
    <t xml:space="preserve">ให้ ผช.ผจก.แผนกวิศวกรรม </t>
  </si>
  <si>
    <t>V:\1) PPC_DATA CENTER\Maintenance</t>
  </si>
  <si>
    <t>ทะเบียนประวัติเครื่องจักร</t>
  </si>
  <si>
    <t>แจ้งกับผู้ที่เกี่ยวข้องทราบ ดังนี้</t>
  </si>
  <si>
    <t>หรือทางโทรศัพท์ กรณีเร่งด่วน</t>
  </si>
  <si>
    <t>(F-EN-01)</t>
  </si>
  <si>
    <t>1) ผู้จัดการโรงงาน</t>
  </si>
  <si>
    <t xml:space="preserve">  - วิเคราะห์อาการเสีย</t>
  </si>
  <si>
    <t>2) ผู้จัดฝ่ายผลิต</t>
  </si>
  <si>
    <t xml:space="preserve">  - กำหนดวิธีการซ่อมบำรุง</t>
  </si>
  <si>
    <t>3) ผู้จัดการแผนกผลิต</t>
  </si>
  <si>
    <r>
      <t xml:space="preserve">    </t>
    </r>
    <r>
      <rPr>
        <sz val="11"/>
        <color theme="1"/>
        <rFont val="Yu Gothic UI"/>
        <family val="2"/>
      </rPr>
      <t>※</t>
    </r>
    <r>
      <rPr>
        <sz val="12.8"/>
        <color theme="1"/>
        <rFont val="TH SarabunPSK"/>
        <family val="2"/>
      </rPr>
      <t xml:space="preserve"> </t>
    </r>
    <r>
      <rPr>
        <sz val="16"/>
        <color theme="1"/>
        <rFont val="TH SarabunPSK"/>
        <family val="2"/>
      </rPr>
      <t>กรณีซ่อมเองไม่ได้ ให้ดำเนินการแจ้งช่างภายนอก</t>
    </r>
  </si>
  <si>
    <t>4) ผู้จัดการแผนกวางแผนการผลิต</t>
  </si>
  <si>
    <t xml:space="preserve">เพื่อเข้ามาประเมินการซ่อม, เสนอราคา/ แจ้งระยะเวลา </t>
  </si>
  <si>
    <t>5) บุคคลอื่นๆ ที่เกี่ยวข้อง</t>
  </si>
  <si>
    <t>ในการซ่อม ภายหลังจากได้รับใบเสนอราคาจากช่าง</t>
  </si>
  <si>
    <t>ภายนอก แผนกวิศวกรรมนำการเสนอเพื่อขออนุมัติ</t>
  </si>
  <si>
    <t>จากผู้จัดการโรงงาน และส่งไปยังแผนกจัดซื้อโดยด่วน</t>
  </si>
  <si>
    <t>เพื่อที่จะได้ดำเนินการซ่อมต่อไป</t>
  </si>
  <si>
    <r>
      <t xml:space="preserve">    </t>
    </r>
    <r>
      <rPr>
        <sz val="12"/>
        <color theme="1"/>
        <rFont val="Yu Gothic UI"/>
        <family val="2"/>
      </rPr>
      <t>※</t>
    </r>
    <r>
      <rPr>
        <sz val="16"/>
        <color theme="1"/>
        <rFont val="TH SarabunPSK"/>
        <family val="2"/>
      </rPr>
      <t xml:space="preserve"> กรณีซ่อมเองได้ ให้ทำการตรวจสอบรายการอะไหล่</t>
    </r>
  </si>
  <si>
    <t>ถ้าไม่มีอะไหล่ให้ดำเนินการขอซื้อโดยด่วน</t>
  </si>
  <si>
    <t xml:space="preserve">    - ดำเนินการซ่อม/ ตรวจสอบหลังการซ่อม</t>
  </si>
  <si>
    <t xml:space="preserve">    - รายงานการซ่อมบำรุง</t>
  </si>
  <si>
    <t xml:space="preserve">    - บันทึกการซ่อมบำรุง ในทะเบียนประวัติเครื่องจักร</t>
  </si>
  <si>
    <t>สัญลักษณ์ (Symbols)</t>
  </si>
  <si>
    <t xml:space="preserve">               เริ่มต้น/ สิ้นสุด (Start/ End Process)</t>
  </si>
  <si>
    <t xml:space="preserve">               กระบวนการ (Process)</t>
  </si>
  <si>
    <t>สิ้นสุด (End process)</t>
  </si>
  <si>
    <t xml:space="preserve">               การตัดสินใจ (Decision)</t>
  </si>
  <si>
    <t xml:space="preserve">               การไหล (Flow)</t>
  </si>
  <si>
    <t>มอเตอร์ปั๊มน้ำ</t>
  </si>
  <si>
    <t xml:space="preserve">  ยังทำงานได้รอการซ่อม (Still working, wait for maintenance)</t>
  </si>
  <si>
    <t>A-BM-06</t>
  </si>
  <si>
    <t>บ้านกรองน้ำ</t>
  </si>
  <si>
    <t>นิภาธร  เงางาม</t>
  </si>
  <si>
    <t xml:space="preserve">  หยุดทำงาน (Break Down)</t>
  </si>
  <si>
    <t xml:space="preserve">  อุปกรณ์สนับสนุน (Equipment Support)</t>
  </si>
  <si>
    <t>Equipment</t>
  </si>
  <si>
    <t>เปลี่ยนมอเตอร์ปั้มน้ำใหม่</t>
  </si>
  <si>
    <t>ทวี ประเสริฐนอก</t>
  </si>
  <si>
    <t>วุฒิชัย นาคศรี</t>
  </si>
  <si>
    <t>A-BM-02</t>
  </si>
  <si>
    <t>A-BM-04</t>
  </si>
  <si>
    <t>Report Check</t>
  </si>
  <si>
    <t>ประพันธ์  นามโลมา</t>
  </si>
  <si>
    <t>ดนุพล  ฤทธิ์นอก</t>
  </si>
  <si>
    <t>A-BM-01</t>
  </si>
  <si>
    <t>A-BM-03</t>
  </si>
  <si>
    <t>A-BM-05</t>
  </si>
  <si>
    <t>Engineering</t>
  </si>
  <si>
    <t>PM</t>
  </si>
  <si>
    <t>สุภาพร นุ่นงาม</t>
  </si>
  <si>
    <t xml:space="preserve"> </t>
  </si>
  <si>
    <t>DV</t>
  </si>
  <si>
    <t>วันSTที่แจ้ง</t>
  </si>
  <si>
    <t>F-EN-12  REV.05</t>
  </si>
  <si>
    <t xml:space="preserve">TOPPAN Flexible Packaging (Thailand) Co.,Ltd.
</t>
  </si>
  <si>
    <t>YEAR 2026</t>
  </si>
  <si>
    <t>EN-26-001</t>
  </si>
  <si>
    <t>EN-26-002</t>
  </si>
  <si>
    <t>EN-26-003</t>
  </si>
  <si>
    <t>EN-26-004</t>
  </si>
  <si>
    <t>EN-26-005</t>
  </si>
  <si>
    <t>EN-26-006</t>
  </si>
  <si>
    <t>EN-26-007</t>
  </si>
  <si>
    <t>EN-26-008</t>
  </si>
  <si>
    <t>EN-26-009</t>
  </si>
  <si>
    <t>EN-26-010</t>
  </si>
  <si>
    <t>EN-26-011</t>
  </si>
  <si>
    <t>EN-26-012</t>
  </si>
  <si>
    <t>EN-26-013</t>
  </si>
  <si>
    <t>EN-26-014</t>
  </si>
  <si>
    <t>EN-26-015</t>
  </si>
  <si>
    <t>EN-26-016</t>
  </si>
  <si>
    <t>EN-26-017</t>
  </si>
  <si>
    <t>EN-26-018</t>
  </si>
  <si>
    <t>EN-26-019</t>
  </si>
  <si>
    <t>EN-26-020</t>
  </si>
  <si>
    <t>EN-26-021</t>
  </si>
  <si>
    <t>EN-26-022</t>
  </si>
  <si>
    <t>EN-26-023</t>
  </si>
  <si>
    <t>EN-26-024</t>
  </si>
  <si>
    <t>EN-26-025</t>
  </si>
  <si>
    <t>EN-26-026</t>
  </si>
  <si>
    <t>EN-26-027</t>
  </si>
  <si>
    <t>EN-26-028</t>
  </si>
  <si>
    <t>EN-26-029</t>
  </si>
  <si>
    <t>EN-26-030</t>
  </si>
  <si>
    <t>EN-26-031</t>
  </si>
  <si>
    <t>EN-26-032</t>
  </si>
  <si>
    <t>EN-26-033</t>
  </si>
  <si>
    <t>EN-26-034</t>
  </si>
  <si>
    <t>EN-26-035</t>
  </si>
  <si>
    <t>EN-26-036</t>
  </si>
  <si>
    <t>EN-26-037</t>
  </si>
  <si>
    <t>EN-26-038</t>
  </si>
  <si>
    <t>EN-26-039</t>
  </si>
  <si>
    <t>EN-26-040</t>
  </si>
  <si>
    <t>EN-26-041</t>
  </si>
  <si>
    <t>EN-26-042</t>
  </si>
  <si>
    <t>EN-26-043</t>
  </si>
  <si>
    <t>EN-26-044</t>
  </si>
  <si>
    <t>EN-26-045</t>
  </si>
  <si>
    <t>EN-26-046</t>
  </si>
  <si>
    <t>EN-26-047</t>
  </si>
  <si>
    <t>EN-26-048</t>
  </si>
  <si>
    <t>EN-26-049</t>
  </si>
  <si>
    <t>EN-26-050</t>
  </si>
  <si>
    <t>EN-26-051</t>
  </si>
  <si>
    <t>EN-26-052</t>
  </si>
  <si>
    <t>EN-26-053</t>
  </si>
  <si>
    <t>EN-26-054</t>
  </si>
  <si>
    <t>EN-26-055</t>
  </si>
  <si>
    <t>EN-26-056</t>
  </si>
  <si>
    <t>EN-26-057</t>
  </si>
  <si>
    <t>EN-26-058</t>
  </si>
  <si>
    <t>EN-26-059</t>
  </si>
  <si>
    <t>EN-26-060</t>
  </si>
  <si>
    <t>EN-26-061</t>
  </si>
  <si>
    <t>EN-26-062</t>
  </si>
  <si>
    <t>EN-26-063</t>
  </si>
  <si>
    <t>EN-26-064</t>
  </si>
  <si>
    <t>EN-26-065</t>
  </si>
  <si>
    <t>EN-26-066</t>
  </si>
  <si>
    <t>EN-26-067</t>
  </si>
  <si>
    <t>EN-26-068</t>
  </si>
  <si>
    <t>EN-26-069</t>
  </si>
  <si>
    <t>EN-26-070</t>
  </si>
  <si>
    <t>EN-26-071</t>
  </si>
  <si>
    <t>EN-26-072</t>
  </si>
  <si>
    <t>EN-26-073</t>
  </si>
  <si>
    <t>EN-26-074</t>
  </si>
  <si>
    <t>EN-26-075</t>
  </si>
  <si>
    <t>EN-26-076</t>
  </si>
  <si>
    <t>EN-26-077</t>
  </si>
  <si>
    <t>EN-26-078</t>
  </si>
  <si>
    <t>EN-26-079</t>
  </si>
  <si>
    <t>EN-26-080</t>
  </si>
  <si>
    <t>EN-26-081</t>
  </si>
  <si>
    <t>EN-26-082</t>
  </si>
  <si>
    <t>EN-26-083</t>
  </si>
  <si>
    <t>EN-26-084</t>
  </si>
  <si>
    <t>EN-26-085</t>
  </si>
  <si>
    <t>EN-26-086</t>
  </si>
  <si>
    <t>EN-26-087</t>
  </si>
  <si>
    <t>EN-26-088</t>
  </si>
  <si>
    <t>EN-26-089</t>
  </si>
  <si>
    <t>EN-26-090</t>
  </si>
  <si>
    <t>EN-26-091</t>
  </si>
  <si>
    <t>EN-26-092</t>
  </si>
  <si>
    <t>EN-26-093</t>
  </si>
  <si>
    <t>EN-26-094</t>
  </si>
  <si>
    <t>EN-26-095</t>
  </si>
  <si>
    <t>EN-26-096</t>
  </si>
  <si>
    <t>EN-26-097</t>
  </si>
  <si>
    <t>EN-26-098</t>
  </si>
  <si>
    <t>EN-26-099</t>
  </si>
  <si>
    <t>EN-26-100</t>
  </si>
  <si>
    <t>EN-26-101</t>
  </si>
  <si>
    <t>EN-26-102</t>
  </si>
  <si>
    <t>EN-26-103</t>
  </si>
  <si>
    <t>EN-26-104</t>
  </si>
  <si>
    <t>EN-26-105</t>
  </si>
  <si>
    <t>EN-26-106</t>
  </si>
  <si>
    <t>EN-26-107</t>
  </si>
  <si>
    <t>EN-26-108</t>
  </si>
  <si>
    <t>EN-26-109</t>
  </si>
  <si>
    <t>EN-26-110</t>
  </si>
  <si>
    <t>EN-26-111</t>
  </si>
  <si>
    <t>EN-26-112</t>
  </si>
  <si>
    <t>EN-26-113</t>
  </si>
  <si>
    <t>EN-26-114</t>
  </si>
  <si>
    <t>EN-26-115</t>
  </si>
  <si>
    <t>EN-26-116</t>
  </si>
  <si>
    <t>EN-26-117</t>
  </si>
  <si>
    <t>EN-26-118</t>
  </si>
  <si>
    <t>EN-26-119</t>
  </si>
  <si>
    <t>EN-26-120</t>
  </si>
  <si>
    <t>EN-26-121</t>
  </si>
  <si>
    <t>EN-26-122</t>
  </si>
  <si>
    <t>EN-26-123</t>
  </si>
  <si>
    <t>EN-26-124</t>
  </si>
  <si>
    <t>EN-26-125</t>
  </si>
  <si>
    <t>EN-26-126</t>
  </si>
  <si>
    <t>EN-26-127</t>
  </si>
  <si>
    <t>EN-26-128</t>
  </si>
  <si>
    <t>EN-26-129</t>
  </si>
  <si>
    <t>EN-26-130</t>
  </si>
  <si>
    <t>EN-26-131</t>
  </si>
  <si>
    <t>EN-26-132</t>
  </si>
  <si>
    <t>EN-26-133</t>
  </si>
  <si>
    <t>EN-26-134</t>
  </si>
  <si>
    <t>EN-26-135</t>
  </si>
  <si>
    <t>EN-26-136</t>
  </si>
  <si>
    <t>EN-26-137</t>
  </si>
  <si>
    <t>EN-26-138</t>
  </si>
  <si>
    <t>EN-26-139</t>
  </si>
  <si>
    <t>EN-26-140</t>
  </si>
  <si>
    <t>EN-26-141</t>
  </si>
  <si>
    <t>EN-26-142</t>
  </si>
  <si>
    <t>EN-26-143</t>
  </si>
  <si>
    <t>EN-26-144</t>
  </si>
  <si>
    <t>EN-26-145</t>
  </si>
  <si>
    <t>EN-26-146</t>
  </si>
  <si>
    <t>EN-26-147</t>
  </si>
  <si>
    <t>EN-26-148</t>
  </si>
  <si>
    <t>EN-26-149</t>
  </si>
  <si>
    <t>EN-26-150</t>
  </si>
  <si>
    <t>EN-26-151</t>
  </si>
  <si>
    <t>EN-26-152</t>
  </si>
  <si>
    <t>EN-26-153</t>
  </si>
  <si>
    <t>EN-26-154</t>
  </si>
  <si>
    <t>EN-26-155</t>
  </si>
  <si>
    <t>EN-26-156</t>
  </si>
  <si>
    <t>EN-26-157</t>
  </si>
  <si>
    <t>EN-26-158</t>
  </si>
  <si>
    <t>EN-26-159</t>
  </si>
  <si>
    <t>EN-26-160</t>
  </si>
  <si>
    <t>EN-26-161</t>
  </si>
  <si>
    <t>EN-26-162</t>
  </si>
  <si>
    <t>EN-26-163</t>
  </si>
  <si>
    <t>EN-26-164</t>
  </si>
  <si>
    <t>EN-26-165</t>
  </si>
  <si>
    <t>EN-26-166</t>
  </si>
  <si>
    <t>EN-26-167</t>
  </si>
  <si>
    <t>EN-26-168</t>
  </si>
  <si>
    <t>EN-26-169</t>
  </si>
  <si>
    <t>EN-26-170</t>
  </si>
  <si>
    <t>EN-26-171</t>
  </si>
  <si>
    <t>EN-26-172</t>
  </si>
  <si>
    <t>EN-26-173</t>
  </si>
  <si>
    <t>EN-26-174</t>
  </si>
  <si>
    <t>EN-26-175</t>
  </si>
  <si>
    <t>EN-26-176</t>
  </si>
  <si>
    <t>EN-26-177</t>
  </si>
  <si>
    <t>EN-26-178</t>
  </si>
  <si>
    <t>EN-26-179</t>
  </si>
  <si>
    <t>EN-26-180</t>
  </si>
  <si>
    <t>EN-26-181</t>
  </si>
  <si>
    <t>EN-26-182</t>
  </si>
  <si>
    <t>EN-26-183</t>
  </si>
  <si>
    <t>EN-26-184</t>
  </si>
  <si>
    <t>EN-26-185</t>
  </si>
  <si>
    <t>EN-26-186</t>
  </si>
  <si>
    <t>EN-26-187</t>
  </si>
  <si>
    <t>EN-26-188</t>
  </si>
  <si>
    <t>EN-26-189</t>
  </si>
  <si>
    <t>EN-26-190</t>
  </si>
  <si>
    <t>EN-26-191</t>
  </si>
  <si>
    <t>EN-26-192</t>
  </si>
  <si>
    <t>EN-26-193</t>
  </si>
  <si>
    <t>EN-26-194</t>
  </si>
  <si>
    <t>EN-26-195</t>
  </si>
  <si>
    <t>EN-26-196</t>
  </si>
  <si>
    <t>EN-26-197</t>
  </si>
  <si>
    <t>EN-26-198</t>
  </si>
  <si>
    <t>EN-26-199</t>
  </si>
  <si>
    <t>EN-26-200</t>
  </si>
  <si>
    <t>EN-26-201</t>
  </si>
  <si>
    <t>EN-26-202</t>
  </si>
  <si>
    <t>EN-26-203</t>
  </si>
  <si>
    <t>EN-26-204</t>
  </si>
  <si>
    <t>EN-26-205</t>
  </si>
  <si>
    <t>EN-26-206</t>
  </si>
  <si>
    <t>EN-26-207</t>
  </si>
  <si>
    <t>EN-26-208</t>
  </si>
  <si>
    <t>EN-26-209</t>
  </si>
  <si>
    <t>EN-26-210</t>
  </si>
  <si>
    <t>EN-26-211</t>
  </si>
  <si>
    <t>EN-26-212</t>
  </si>
  <si>
    <t>EN-26-213</t>
  </si>
  <si>
    <t>EN-26-214</t>
  </si>
  <si>
    <t>EN-26-215</t>
  </si>
  <si>
    <t>EN-26-216</t>
  </si>
  <si>
    <t>EN-26-217</t>
  </si>
  <si>
    <t>EN-26-218</t>
  </si>
  <si>
    <t>EN-26-219</t>
  </si>
  <si>
    <t>EN-26-220</t>
  </si>
  <si>
    <t>EN-26-221</t>
  </si>
  <si>
    <t>EN-26-222</t>
  </si>
  <si>
    <t>EN-26-223</t>
  </si>
  <si>
    <t>EN-26-224</t>
  </si>
  <si>
    <t>EN-26-225</t>
  </si>
  <si>
    <t>EN-26-226</t>
  </si>
  <si>
    <t>EN-26-227</t>
  </si>
  <si>
    <t>EN-26-228</t>
  </si>
  <si>
    <t>EN-26-229</t>
  </si>
  <si>
    <t>EN-26-230</t>
  </si>
  <si>
    <t>EN-26-231</t>
  </si>
  <si>
    <t>EN-26-232</t>
  </si>
  <si>
    <t>EN-26-233</t>
  </si>
  <si>
    <t>EN-26-234</t>
  </si>
  <si>
    <t>EN-26-235</t>
  </si>
  <si>
    <t>EN-26-236</t>
  </si>
  <si>
    <t>EN-26-237</t>
  </si>
  <si>
    <t>EN-26-238</t>
  </si>
  <si>
    <t>EN-26-239</t>
  </si>
  <si>
    <t>EN-26-240</t>
  </si>
  <si>
    <t>EN-26-241</t>
  </si>
  <si>
    <t>EN-26-242</t>
  </si>
  <si>
    <t>EN-26-243</t>
  </si>
  <si>
    <t>EN-26-244</t>
  </si>
  <si>
    <t>EN-26-245</t>
  </si>
  <si>
    <t>EN-26-246</t>
  </si>
  <si>
    <t>EN-26-247</t>
  </si>
  <si>
    <t>EN-26-248</t>
  </si>
  <si>
    <t>EN-26-249</t>
  </si>
  <si>
    <t>EN-26-250</t>
  </si>
  <si>
    <t>EN-26-251</t>
  </si>
  <si>
    <t>EN-26-252</t>
  </si>
  <si>
    <t>EN-26-253</t>
  </si>
  <si>
    <t>EN-26-254</t>
  </si>
  <si>
    <t>EN-26-255</t>
  </si>
  <si>
    <t>EN-26-256</t>
  </si>
  <si>
    <t>EN-26-257</t>
  </si>
  <si>
    <t>EN-26-258</t>
  </si>
  <si>
    <t>EN-26-259</t>
  </si>
  <si>
    <t>EN-26-260</t>
  </si>
  <si>
    <t>EN-26-261</t>
  </si>
  <si>
    <t>EN-26-262</t>
  </si>
  <si>
    <t>EN-26-263</t>
  </si>
  <si>
    <t>EN-26-264</t>
  </si>
  <si>
    <t>EN-26-265</t>
  </si>
  <si>
    <t>EN-26-266</t>
  </si>
  <si>
    <t>EN-26-267</t>
  </si>
  <si>
    <t>EN-26-268</t>
  </si>
  <si>
    <t>EN-26-269</t>
  </si>
  <si>
    <t>EN-26-270</t>
  </si>
  <si>
    <t>EN-26-271</t>
  </si>
  <si>
    <t>EN-26-272</t>
  </si>
  <si>
    <t>EN-26-273</t>
  </si>
  <si>
    <t>EN-26-274</t>
  </si>
  <si>
    <t>EN-26-275</t>
  </si>
  <si>
    <t>EN-26-276</t>
  </si>
  <si>
    <t>EN-26-277</t>
  </si>
  <si>
    <t>EN-26-278</t>
  </si>
  <si>
    <t>EN-26-279</t>
  </si>
  <si>
    <t>EN-26-280</t>
  </si>
  <si>
    <t>EN-26-281</t>
  </si>
  <si>
    <t>EN-26-282</t>
  </si>
  <si>
    <t>EN-26-283</t>
  </si>
  <si>
    <t>EN-26-284</t>
  </si>
  <si>
    <t>EN-26-285</t>
  </si>
  <si>
    <t>EN-26-286</t>
  </si>
  <si>
    <t>EN-26-287</t>
  </si>
  <si>
    <t>EN-26-288</t>
  </si>
  <si>
    <t>EN-26-289</t>
  </si>
  <si>
    <t>EN-26-290</t>
  </si>
  <si>
    <t>EN-26-291</t>
  </si>
  <si>
    <t>EN-26-292</t>
  </si>
  <si>
    <t>EN-26-293</t>
  </si>
  <si>
    <t>EN-26-294</t>
  </si>
  <si>
    <t>EN-26-295</t>
  </si>
  <si>
    <t>EN-26-296</t>
  </si>
  <si>
    <t>EN-26-297</t>
  </si>
  <si>
    <t>EN-26-298</t>
  </si>
  <si>
    <t>EN-26-299</t>
  </si>
  <si>
    <t>EN-26-300</t>
  </si>
  <si>
    <t>EN-26-301</t>
  </si>
  <si>
    <t>EN-26-302</t>
  </si>
  <si>
    <t>ASDFJKLL;</t>
  </si>
  <si>
    <t>SSSSS</t>
  </si>
  <si>
    <t xml:space="preserve">A-BM06 </t>
  </si>
  <si>
    <t>Pressure gauge เสีย</t>
  </si>
  <si>
    <t>A-BM07</t>
  </si>
  <si>
    <t>ผนังห้อง</t>
  </si>
  <si>
    <t>รอยร้าวบนผนังฝั่ง Air Shower</t>
  </si>
  <si>
    <t>ที่ครอบรางประตู</t>
  </si>
  <si>
    <t>ที่ครอบรางประตูหน้าทางเข้าห้อง QC-QA ชำรุด</t>
  </si>
  <si>
    <t>เครื่อง Retort</t>
  </si>
  <si>
    <t>ท่อน้ำรั่วจากเครื่อง Retort</t>
  </si>
  <si>
    <t>ปรับรอบไม่ได้</t>
  </si>
  <si>
    <t>ประตูส่งฟิล์ม</t>
  </si>
  <si>
    <t>ประตูชำรุด</t>
  </si>
  <si>
    <t>เครื่องเป่าลม ห้องน้ำชาย</t>
  </si>
  <si>
    <t>เครื่องเป่าลม ห้องน้ำชาย ใช้งานไม่ได้ทั้2เครื่อง</t>
  </si>
  <si>
    <t xml:space="preserve">เครื่องเป่าลมหน้าทางเข้าไลน์ </t>
  </si>
  <si>
    <t xml:space="preserve">ช่วยทำความสะอาดเครื่องเป่าลมทางเข้าไลน์ </t>
  </si>
  <si>
    <t>ไม้ค้ำถังขยะ</t>
  </si>
  <si>
    <t>ช่วยแก้ไขไม้ค้ำถังขยะเปียกให้สามารถถอดออกคนเดียวได้</t>
  </si>
  <si>
    <t>ชั้นวางรองเท้า Safety</t>
  </si>
  <si>
    <t xml:space="preserve">ซ่อมชั้นวางรองเท้า Safety ชั้นตรงกลางมันหัก </t>
  </si>
  <si>
    <t>ขณิศการ</t>
  </si>
  <si>
    <t>นาฬิกาไม่ตรง</t>
  </si>
  <si>
    <t>สัญญาณเริ่มงาน และเลิกงาน ไม่ตรงกับ นาฬิกา</t>
  </si>
  <si>
    <t>หลอดไฟห้องน้ำ ญ</t>
  </si>
  <si>
    <t>สายไฟ</t>
  </si>
  <si>
    <t>เก็บสายไฟห้องออฟิศสโตร์ทั้งหมดที่อยู่บนพื้นห้อง</t>
  </si>
  <si>
    <t>ย้ายสายโทรศัพเบอร์เดิม</t>
  </si>
  <si>
    <t>ตอนนี้สายอยู่บนพรมไม่ได้เดินสายไว้ด้านล่าง</t>
  </si>
  <si>
    <t>08.30 AM</t>
  </si>
  <si>
    <t>สำลี ชัยศิรินทร์</t>
  </si>
  <si>
    <t xml:space="preserve">ย้ายตู้ดักแมลง ในห้อง Dry  </t>
  </si>
  <si>
    <t xml:space="preserve">ตั้งในจุดเก็บบล็อคกาว ไม่สามารถเข้าไปเก็บหรือเปลี่ยนกาวดักแมลงได้ เนื่องจากทางแผนก Dry ไม่สามารถย้ายอุปกรณ์ไปจัดเก็บที่อื่นได้ </t>
  </si>
  <si>
    <t>A-BM-08</t>
  </si>
  <si>
    <t>น๊อตล็อกที่ปรับมีดต้ดหัก</t>
  </si>
  <si>
    <t xml:space="preserve">ไม่มีที่ร้อยเก็บเทป </t>
  </si>
  <si>
    <t>ทำแขนในการร้อยเก็บเทป</t>
  </si>
  <si>
    <t>ประตูชำรุดหน้าห้องPrint</t>
  </si>
  <si>
    <t>ผนังติดห้องDryชำรุด</t>
  </si>
  <si>
    <t>แผ่นรองชำรุด</t>
  </si>
  <si>
    <t>แผ่นรองชำรุด Printing B unit 2</t>
  </si>
  <si>
    <t>รถยกงาน</t>
  </si>
  <si>
    <t>แบตเตอรี่เสื่อมสภาพ (2 คัน)</t>
  </si>
  <si>
    <t>ขอบตู้ไฟชำรุด Printing</t>
  </si>
  <si>
    <t>มีลมรั่ว</t>
  </si>
  <si>
    <t>แผ่นกั้นเครื่องซิลสูง</t>
  </si>
  <si>
    <t>ที่กั้นความร้อนสูงเกินไป</t>
  </si>
  <si>
    <t>ตัวเจาะO-Cutไม่เจาะ1ตัว</t>
  </si>
  <si>
    <t>ใบมีดตัดแกน</t>
  </si>
  <si>
    <t>ทำคมไหม่</t>
  </si>
  <si>
    <t>แกนหมุนขึ้นลงชำรุดunit7</t>
  </si>
  <si>
    <t>ปั๊มsolovent multistar no.2</t>
  </si>
  <si>
    <t>สายกราว์ปั๊มsolovent multistar no.2ชำรุด</t>
  </si>
  <si>
    <t>ทำสายกราว์5ชุด</t>
  </si>
  <si>
    <t>ติดตั้งสายชาร์เครื่องX-RITE</t>
  </si>
  <si>
    <t>ช่องลมแอร์</t>
  </si>
  <si>
    <t>ช่องลมแอร์ไม่สะอาด</t>
  </si>
  <si>
    <t>เจาะยึดรางสไลดค์ไหม่</t>
  </si>
  <si>
    <t>เสื่อมสภาพ</t>
  </si>
  <si>
    <t>7ชุด</t>
  </si>
  <si>
    <t>16/5/26</t>
  </si>
  <si>
    <t>ตัวคีบ   สายกราว์</t>
  </si>
  <si>
    <t>เจาะยึดน็อตไหม่</t>
  </si>
  <si>
    <t>16.15 PM</t>
  </si>
  <si>
    <t>15:50 PM</t>
  </si>
  <si>
    <t>ภัคภร พลีดี</t>
  </si>
  <si>
    <t>เครื่องกดสบู่เหลว</t>
  </si>
  <si>
    <t>ติดตั้งเครื่องกดสบู่เหลวแทนที่ชำรุด 1 จุด ที่โรงอาหาร</t>
  </si>
  <si>
    <t>Pressure gauge ชุดเจาะV-cut เสีย</t>
  </si>
  <si>
    <t>ที่วางจานพนักงาน</t>
  </si>
  <si>
    <t>ทำพนักงานที่วางจานพนักงานกะดึก</t>
  </si>
  <si>
    <t>เปลี่ยนหลอดไฟห้องน้ำ ญ  ออฟฟฟิศ</t>
  </si>
  <si>
    <t>ปลั๊กไฟโต๊ะ พี่แขก</t>
  </si>
  <si>
    <t>ปลั๊กไฟที่โต๊ะ พี่แขก ชำรุด</t>
  </si>
  <si>
    <t>ก๊อกน้ำไหลไม่หยุด</t>
  </si>
  <si>
    <t>ห้องน้ำพนักงานชาย ก๊อกน้ำไหลไม่หยุด</t>
  </si>
  <si>
    <t>ลมรั่วเพลาด้านบนและด้านล่าง</t>
  </si>
  <si>
    <t>16ซ50</t>
  </si>
  <si>
    <t>เปลี่ยน TOUCH ROLL ใหม่บนล่าง</t>
  </si>
  <si>
    <t>เปลี่ยนชุดวาว์ลใหม่</t>
  </si>
  <si>
    <t>วาว์ลโถฉี่</t>
  </si>
  <si>
    <t xml:space="preserve"> 1 ตัว</t>
  </si>
  <si>
    <t>19-05-26</t>
  </si>
  <si>
    <t>พื้นห้อง Rewinder</t>
  </si>
  <si>
    <t>มีน้ำซึมออกมาตรงพื้น</t>
  </si>
  <si>
    <t>รถยกงานล้อชำรุด</t>
  </si>
  <si>
    <t>A-BM02</t>
  </si>
  <si>
    <t>ชุดใส่ลูกปืนดึงใบมีดตัดซองหลวม</t>
  </si>
  <si>
    <t>ปิยพร สุกอง</t>
  </si>
  <si>
    <t>10.12 AM</t>
  </si>
  <si>
    <t>ป้ายความปลอดภัย</t>
  </si>
  <si>
    <t>ติดตั้งป้าย"ห้ามวางของสูงเกินระดับ 60 cm. แผนก Bag Making</t>
  </si>
  <si>
    <t>ลูกระนาด</t>
  </si>
  <si>
    <t>ลูกระนาดชำรุดเปลี่ยนทั้งหมดที่ชำรุด</t>
  </si>
  <si>
    <t>A-PT-01 water chiller น้ำลั้น</t>
  </si>
  <si>
    <t>14:26 PM</t>
  </si>
  <si>
    <t>ลูกปืนลูกยางปั่นสีแตก</t>
  </si>
  <si>
    <t>เปลี่ยนหลอดไฟใหม่</t>
  </si>
  <si>
    <t>หลอดไฟ</t>
  </si>
  <si>
    <t>1 หลอด</t>
  </si>
  <si>
    <t>ซ่อมเครื่องจ่ายแอลกอฮอล 2 จุด หน้า Canteen  และที่สแกนนิ้ว</t>
  </si>
  <si>
    <t>ล้างเครื่องเป่าลม ทางเข้า Canteen</t>
  </si>
  <si>
    <t>ซ่อม Locker ห้องพนักงานหญิง ชั้นวางชำรุด</t>
  </si>
  <si>
    <t>ทำความสะอาด</t>
  </si>
  <si>
    <t>23/5/26</t>
  </si>
  <si>
    <t>09:00 AM</t>
  </si>
  <si>
    <t>13.15 PM</t>
  </si>
  <si>
    <t>ลมรั่วAircylinderชุดในมีดDouble cut</t>
  </si>
  <si>
    <t>ชัตเตอร์กลาง</t>
  </si>
  <si>
    <t>ค้าง</t>
  </si>
  <si>
    <t>หลอดไฟห้องน้ำ ช</t>
  </si>
  <si>
    <t>หลอดไฟห้องน้ำพนักงานชาย ชำรุด</t>
  </si>
  <si>
    <t>ที่กดแอลกอฮอล์</t>
  </si>
  <si>
    <t>ที่กดแอลกอฮอล์ห้องน้ำ ญ ชำรุด</t>
  </si>
  <si>
    <t xml:space="preserve">ขอเบอร์โทรศํพท์ ไว้ใช้ในห้องพยาบาล </t>
  </si>
  <si>
    <t>ขอเบอร์โทรศัพท์</t>
  </si>
  <si>
    <t>ตู้กับข้าว</t>
  </si>
  <si>
    <t>ซ่อมตู้กับข้าว แผนก QC และ DRY Laminate</t>
  </si>
  <si>
    <t>ลูกปืนชุดยกHeaterแตก</t>
  </si>
  <si>
    <t>เจษฎา คำสีทา</t>
  </si>
  <si>
    <t>IT</t>
  </si>
  <si>
    <t>จรัสพงศ์ นิลหล้า</t>
  </si>
  <si>
    <t>พัดลมดูดอากาศห้อง Server</t>
  </si>
  <si>
    <t>พัดลมดูดอากาศห้อง Server ไม่ติด</t>
  </si>
  <si>
    <t>เปิดสวิต</t>
  </si>
  <si>
    <t>1ชม.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</si>
</sst>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(* #,##0.00_);_(* \(#,##0.00\);_(* &quot;-&quot;??_);_(@_)"/>
    <numFmt numFmtId="164" formatCode="[$-409]d\-mmm\-yy;@"/>
    <numFmt numFmtId="165" formatCode="[$-809]dd\ mmmm\ yyyy;@"/>
    <numFmt numFmtId="166" formatCode="[$-1000000]h:mm:ss\ AM/PM;@"/>
    <numFmt numFmtId="167" formatCode="[$-1010409]d\ mmm\ yy;@"/>
    <numFmt numFmtId="168" formatCode="[$-409]h:mm\ AM/PM;@"/>
    <numFmt numFmtId="169" formatCode="[$-F800]dddd\,\ mmmm\ dd\,\ yyyy"/>
    <numFmt numFmtId="170" formatCode="h:mm;@"/>
  </numFmts>
  <fonts count="100">
    <font>
      <sz val="11"/>
      <color theme="1"/>
      <name val="Calibri"/>
      <family val="2"/>
      <scheme val="minor"/>
    </font>
    <font>
      <sz val="16"/>
      <color theme="1"/>
      <name val="TH SarabunPSK"/>
      <family val="2"/>
    </font>
    <font>
      <sz val="12"/>
      <color theme="1"/>
      <name val="Arial"/>
      <family val="2"/>
    </font>
    <font>
      <sz val="10"/>
      <color theme="1" tint="0.499984740745262"/>
      <name val="Calibri"/>
      <family val="2"/>
    </font>
    <font>
      <sz val="10"/>
      <color theme="1" tint="0.249977111117893"/>
      <name val="Calibri"/>
      <family val="2"/>
    </font>
    <font>
      <b/>
      <sz val="10"/>
      <color theme="0"/>
      <name val="Calibri"/>
      <family val="2"/>
    </font>
    <font>
      <b/>
      <sz val="10"/>
      <color theme="1" tint="0.34998626667073579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4"/>
      <color theme="0"/>
      <name val="Calibri"/>
      <family val="2"/>
    </font>
    <font>
      <b/>
      <sz val="14"/>
      <color theme="1" tint="0.249977111117893"/>
      <name val="Calibri"/>
      <family val="2"/>
    </font>
    <font>
      <b/>
      <sz val="10"/>
      <color theme="1"/>
      <name val="Calibri"/>
      <family val="2"/>
    </font>
    <font>
      <b/>
      <sz val="12"/>
      <color theme="1" tint="0.34998626667073579"/>
      <name val="Calibri"/>
      <family val="2"/>
    </font>
    <font>
      <b/>
      <sz val="11"/>
      <color theme="1" tint="0.499984740745262"/>
      <name val="Calibri"/>
      <family val="2"/>
    </font>
    <font>
      <b/>
      <sz val="18"/>
      <color theme="0"/>
      <name val="Calibri"/>
      <family val="2"/>
    </font>
    <font>
      <sz val="11"/>
      <color theme="0"/>
      <name val="Calibri"/>
      <family val="2"/>
      <charset val="222"/>
    </font>
    <font>
      <sz val="10"/>
      <color theme="0"/>
      <name val="Calibri"/>
      <family val="2"/>
      <charset val="222"/>
    </font>
    <font>
      <b/>
      <sz val="9"/>
      <color theme="1"/>
      <name val="Calibri"/>
      <family val="2"/>
    </font>
    <font>
      <b/>
      <sz val="12"/>
      <color theme="0"/>
      <name val="Calibri"/>
      <family val="2"/>
    </font>
    <font>
      <b/>
      <sz val="14"/>
      <color theme="8" tint="-0.499984740745262"/>
      <name val="Calibri"/>
      <family val="2"/>
    </font>
    <font>
      <b/>
      <sz val="10"/>
      <color theme="8" tint="-0.499984740745262"/>
      <name val="Calibri"/>
      <family val="2"/>
    </font>
    <font>
      <b/>
      <sz val="11"/>
      <color theme="8" tint="0.79998168889431442"/>
      <name val="Calibri"/>
      <family val="2"/>
    </font>
    <font>
      <b/>
      <sz val="11"/>
      <color theme="8" tint="-0.499984740745262"/>
      <name val="Calibri"/>
      <family val="2"/>
    </font>
    <font>
      <sz val="16"/>
      <color theme="1"/>
      <name val="Angsana New"/>
      <family val="1"/>
    </font>
    <font>
      <b/>
      <sz val="16"/>
      <color theme="1"/>
      <name val="Angsana New"/>
      <family val="1"/>
    </font>
    <font>
      <b/>
      <sz val="20"/>
      <color theme="1"/>
      <name val="Angsana New"/>
      <family val="1"/>
    </font>
    <font>
      <b/>
      <sz val="24"/>
      <color theme="1"/>
      <name val="Angsana New"/>
      <family val="1"/>
    </font>
    <font>
      <b/>
      <sz val="18"/>
      <color theme="0"/>
      <name val="Angsana New"/>
      <family val="1"/>
    </font>
    <font>
      <sz val="16"/>
      <color theme="3"/>
      <name val="Angsana New"/>
      <family val="1"/>
    </font>
    <font>
      <sz val="16"/>
      <color theme="1"/>
      <name val="Wingdings 2"/>
      <family val="1"/>
      <charset val="2"/>
    </font>
    <font>
      <b/>
      <sz val="16"/>
      <color theme="8" tint="-0.499984740745262"/>
      <name val="Angsana New"/>
      <family val="1"/>
    </font>
    <font>
      <b/>
      <sz val="16"/>
      <color rgb="FFC00000"/>
      <name val="Angsana New"/>
      <family val="1"/>
    </font>
    <font>
      <b/>
      <sz val="12.8"/>
      <color theme="1"/>
      <name val="Angsana New"/>
      <family val="1"/>
    </font>
    <font>
      <b/>
      <sz val="16"/>
      <color theme="1"/>
      <name val="Angsana New"/>
      <family val="2"/>
    </font>
    <font>
      <b/>
      <sz val="12"/>
      <color theme="1"/>
      <name val="Yu Gothic UI"/>
      <family val="2"/>
    </font>
    <font>
      <b/>
      <sz val="12"/>
      <color theme="1"/>
      <name val="Angsana New"/>
      <family val="1"/>
    </font>
    <font>
      <sz val="16"/>
      <color theme="8" tint="-0.499984740745262"/>
      <name val="Angsana New"/>
      <family val="1"/>
    </font>
    <font>
      <b/>
      <sz val="16"/>
      <color theme="1"/>
      <name val="Yu Gothic UI"/>
      <family val="2"/>
    </font>
    <font>
      <b/>
      <sz val="16"/>
      <color theme="1"/>
      <name val="Yu Gothic"/>
      <family val="2"/>
    </font>
    <font>
      <b/>
      <sz val="14"/>
      <color theme="1"/>
      <name val="Yu Gothic"/>
      <family val="2"/>
    </font>
    <font>
      <b/>
      <sz val="12"/>
      <color theme="1"/>
      <name val="Yu Gothic"/>
      <family val="2"/>
    </font>
    <font>
      <b/>
      <sz val="10"/>
      <color theme="1"/>
      <name val="Yu Gothic"/>
      <family val="2"/>
    </font>
    <font>
      <b/>
      <sz val="18"/>
      <color theme="1"/>
      <name val="Angsana New"/>
      <family val="1"/>
    </font>
    <font>
      <b/>
      <u/>
      <sz val="16"/>
      <color theme="1"/>
      <name val="Angsana New"/>
      <family val="1"/>
    </font>
    <font>
      <b/>
      <sz val="16"/>
      <name val="Angsana New"/>
      <family val="1"/>
    </font>
    <font>
      <b/>
      <i/>
      <sz val="16"/>
      <color theme="1"/>
      <name val="Angsana New"/>
      <family val="1"/>
    </font>
    <font>
      <b/>
      <sz val="18"/>
      <color theme="1"/>
      <name val="Angsana New"/>
      <family val="2"/>
    </font>
    <font>
      <b/>
      <i/>
      <sz val="12.8"/>
      <color theme="1"/>
      <name val="Angsana New"/>
      <family val="1"/>
    </font>
    <font>
      <i/>
      <sz val="16"/>
      <color theme="8" tint="-0.499984740745262"/>
      <name val="Angsana New"/>
      <family val="1"/>
    </font>
    <font>
      <i/>
      <sz val="16"/>
      <color rgb="FFC00000"/>
      <name val="Angsana New"/>
      <family val="1"/>
    </font>
    <font>
      <b/>
      <sz val="17"/>
      <color theme="1"/>
      <name val="Angsana New"/>
      <family val="1"/>
    </font>
    <font>
      <sz val="12"/>
      <color theme="0"/>
      <name val="Arial"/>
      <family val="2"/>
    </font>
    <font>
      <sz val="16"/>
      <color theme="0"/>
      <name val="Angsana New"/>
      <family val="1"/>
    </font>
    <font>
      <sz val="16"/>
      <color rgb="FFFFFF99"/>
      <name val="Angsana New"/>
      <family val="1"/>
    </font>
    <font>
      <b/>
      <sz val="16"/>
      <color theme="0"/>
      <name val="Angsana New"/>
      <family val="1"/>
    </font>
    <font>
      <u/>
      <sz val="16"/>
      <color theme="0"/>
      <name val="Angsana New"/>
      <family val="1"/>
    </font>
    <font>
      <b/>
      <sz val="16"/>
      <color theme="0" tint="-0.34998626667073579"/>
      <name val="Angsana New"/>
      <family val="1"/>
    </font>
    <font>
      <sz val="16"/>
      <color theme="0" tint="-0.34998626667073579"/>
      <name val="Angsana New"/>
      <family val="1"/>
    </font>
    <font>
      <i/>
      <sz val="16"/>
      <color theme="0" tint="-0.34998626667073579"/>
      <name val="Angsana New"/>
      <family val="1"/>
    </font>
    <font>
      <u/>
      <sz val="16"/>
      <color theme="0" tint="-0.34998626667073579"/>
      <name val="Angsana New"/>
      <family val="1"/>
    </font>
    <font>
      <sz val="16"/>
      <color rgb="FFC00000"/>
      <name val="Wingdings 2"/>
      <family val="1"/>
      <charset val="2"/>
    </font>
    <font>
      <sz val="16"/>
      <color rgb="FFC00000"/>
      <name val="Angsana New"/>
      <family val="1"/>
    </font>
    <font>
      <b/>
      <sz val="11"/>
      <color theme="1"/>
      <name val="Arial"/>
      <family val="2"/>
    </font>
    <font>
      <sz val="11"/>
      <color theme="0"/>
      <name val="Arial"/>
      <family val="2"/>
    </font>
    <font>
      <sz val="11"/>
      <color theme="1"/>
      <name val="Arial"/>
      <family val="2"/>
    </font>
    <font>
      <b/>
      <sz val="10"/>
      <name val="Arial Narrow"/>
      <family val="2"/>
    </font>
    <font>
      <sz val="10"/>
      <color rgb="FFC00000"/>
      <name val="Calibri"/>
      <family val="2"/>
    </font>
    <font>
      <sz val="18"/>
      <color theme="1"/>
      <name val="Browallia New"/>
      <family val="2"/>
    </font>
    <font>
      <b/>
      <sz val="16"/>
      <color theme="0" tint="-4.9989318521683403E-2"/>
      <name val="Angsana New"/>
      <family val="1"/>
    </font>
    <font>
      <b/>
      <sz val="16"/>
      <color theme="1" tint="0.249977111117893"/>
      <name val="Angsana New"/>
      <family val="1"/>
    </font>
    <font>
      <b/>
      <sz val="12"/>
      <color theme="1" tint="0.34998626667073579"/>
      <name val="Arial Narrow"/>
      <family val="2"/>
    </font>
    <font>
      <sz val="30"/>
      <color theme="1" tint="0.14999847407452621"/>
      <name val="Code 3 de 9"/>
      <charset val="2"/>
    </font>
    <font>
      <sz val="16"/>
      <color theme="1"/>
      <name val="TH SarabunPSK"/>
      <family val="2"/>
    </font>
    <font>
      <b/>
      <sz val="16"/>
      <color theme="1"/>
      <name val="TH SarabunPSK"/>
      <family val="2"/>
    </font>
    <font>
      <b/>
      <sz val="22"/>
      <color theme="1"/>
      <name val="TH SarabunPSK"/>
      <family val="2"/>
    </font>
    <font>
      <sz val="16"/>
      <color theme="3"/>
      <name val="TH SarabunPSK"/>
      <family val="2"/>
    </font>
    <font>
      <sz val="16"/>
      <color rgb="FF0000FF"/>
      <name val="TH SarabunPSK"/>
      <family val="2"/>
    </font>
    <font>
      <sz val="11"/>
      <color theme="1"/>
      <name val="Yu Gothic UI"/>
      <family val="2"/>
    </font>
    <font>
      <sz val="12.8"/>
      <color theme="1"/>
      <name val="TH SarabunPSK"/>
      <family val="2"/>
    </font>
    <font>
      <sz val="12"/>
      <color theme="1"/>
      <name val="Yu Gothic UI"/>
      <family val="2"/>
    </font>
    <font>
      <b/>
      <sz val="17"/>
      <color rgb="FFC00000"/>
      <name val="Angsana New"/>
      <family val="1"/>
    </font>
    <font>
      <i/>
      <sz val="17"/>
      <color rgb="FFC00000"/>
      <name val="Angsana New"/>
      <family val="1"/>
    </font>
    <font>
      <b/>
      <sz val="18"/>
      <color rgb="FF002060"/>
      <name val="Angsana New"/>
      <family val="1"/>
    </font>
    <font>
      <b/>
      <sz val="17"/>
      <color rgb="FF002060"/>
      <name val="Angsana New"/>
      <family val="1"/>
    </font>
    <font>
      <sz val="18"/>
      <color theme="8" tint="-0.499984740745262"/>
      <name val="Wingdings 2"/>
      <family val="1"/>
      <charset val="2"/>
    </font>
    <font>
      <sz val="18"/>
      <color rgb="FF002060"/>
      <name val="Wingdings 2"/>
      <family val="1"/>
      <charset val="2"/>
    </font>
    <font>
      <sz val="18"/>
      <color rgb="FFC00000"/>
      <name val="Wingdings 2"/>
      <family val="1"/>
      <charset val="2"/>
    </font>
    <font>
      <b/>
      <sz val="10"/>
      <name val="Arial"/>
      <family val="2"/>
    </font>
    <font>
      <sz val="8"/>
      <name val="Calibri"/>
      <family val="2"/>
      <scheme val="minor"/>
    </font>
    <font>
      <sz val="10"/>
      <color rgb="FF000000"/>
      <name val="Calibri"/>
      <family val="2"/>
    </font>
    <font>
      <sz val="10"/>
      <color theme="1" tint="0.249977111117893"/>
      <name val="Calibri"/>
      <family val="2"/>
      <scheme val="minor"/>
    </font>
    <font>
      <sz val="10"/>
      <name val="Calibri"/>
      <family val="2"/>
    </font>
    <font>
      <sz val="10"/>
      <color rgb="FFFFC000"/>
      <name val="Calibri"/>
      <family val="2"/>
    </font>
    <font>
      <sz val="10"/>
      <color rgb="FF202124"/>
      <name val="Calibri"/>
      <family val="2"/>
      <scheme val="minor"/>
    </font>
    <font>
      <b/>
      <sz val="10"/>
      <color theme="1" tint="0.249977111117893"/>
      <name val="Calibri"/>
      <family val="2"/>
    </font>
    <font>
      <sz val="10"/>
      <color rgb="FFFF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6"/>
      <color theme="0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/>
      </patternFill>
    </fill>
    <fill>
      <patternFill patternType="solid">
        <fgColor rgb="FFFFFFCC"/>
      </patternFill>
    </fill>
    <fill>
      <patternFill patternType="solid">
        <fgColor theme="6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</fills>
  <borders count="68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theme="8" tint="0.79998168889431442"/>
      </left>
      <right style="thin">
        <color theme="8" tint="0.79998168889431442"/>
      </right>
      <top/>
      <bottom/>
      <diagonal/>
    </border>
    <border>
      <left/>
      <right/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8" tint="0.79998168889431442"/>
      </left>
      <right style="thin">
        <color theme="8" tint="0.79998168889431442"/>
      </right>
      <top/>
      <bottom style="thin">
        <color theme="8" tint="0.7999816888943144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1" tint="0.499984740745262"/>
      </right>
      <top/>
      <bottom/>
      <diagonal/>
    </border>
    <border>
      <left style="thin">
        <color theme="8" tint="0.79998168889431442"/>
      </left>
      <right style="thin">
        <color theme="1" tint="0.499984740745262"/>
      </right>
      <top/>
      <bottom/>
      <diagonal/>
    </border>
    <border>
      <left style="thin">
        <color theme="8" tint="0.79998168889431442"/>
      </left>
      <right style="thin">
        <color theme="1" tint="0.499984740745262"/>
      </right>
      <top/>
      <bottom style="thin">
        <color theme="8" tint="0.79998168889431442"/>
      </bottom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499984740745262"/>
      </left>
      <right style="thin">
        <color theme="8" tint="0.79998168889431442"/>
      </right>
      <top/>
      <bottom/>
      <diagonal/>
    </border>
    <border>
      <left style="thin">
        <color theme="1" tint="0.499984740745262"/>
      </left>
      <right style="thin">
        <color theme="8" tint="0.79998168889431442"/>
      </right>
      <top/>
      <bottom style="thin">
        <color theme="8" tint="0.79998168889431442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/>
      <top style="thick">
        <color theme="0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hair">
        <color theme="1" tint="0.499984740745262"/>
      </left>
      <right style="hair">
        <color theme="1" tint="0.499984740745262"/>
      </right>
      <top/>
      <bottom/>
      <diagonal/>
    </border>
    <border>
      <left style="thin">
        <color auto="1"/>
      </left>
      <right/>
      <top/>
      <bottom style="dotted">
        <color auto="1"/>
      </bottom>
      <diagonal/>
    </border>
    <border>
      <left/>
      <right style="thin">
        <color auto="1"/>
      </right>
      <top/>
      <bottom style="dotted">
        <color auto="1"/>
      </bottom>
      <diagonal/>
    </border>
    <border>
      <left/>
      <right/>
      <top/>
      <bottom style="dotted">
        <color auto="1"/>
      </bottom>
      <diagonal/>
    </border>
    <border>
      <left style="hair">
        <color theme="1" tint="0.499984740745262"/>
      </left>
      <right style="hair">
        <color theme="1" tint="0.499984740745262"/>
      </right>
      <top/>
      <bottom style="dotted">
        <color auto="1"/>
      </bottom>
      <diagonal/>
    </border>
    <border>
      <left style="thin">
        <color auto="1"/>
      </left>
      <right style="thin">
        <color auto="1"/>
      </right>
      <top/>
      <bottom style="dotted">
        <color auto="1"/>
      </bottom>
      <diagonal/>
    </border>
    <border>
      <left style="hair">
        <color theme="1" tint="0.499984740745262"/>
      </left>
      <right style="hair">
        <color theme="1" tint="0.499984740745262"/>
      </right>
      <top/>
      <bottom style="thin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mediumDashed">
        <color rgb="FFFF0000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mediumDashed">
        <color rgb="FFFF0000"/>
      </bottom>
      <diagonal/>
    </border>
  </borders>
  <cellStyleXfs count="16">
    <xf numFmtId="0" fontId="0" fillId="0" borderId="0"/>
    <xf numFmtId="43" fontId="7" fillId="0" borderId="0" applyFont="0" applyFill="0" applyBorder="0" applyAlignment="0" applyProtection="0"/>
    <xf numFmtId="0" fontId="7" fillId="0" borderId="0"/>
    <xf numFmtId="0" fontId="8" fillId="4" borderId="1" applyNumberFormat="0" applyFont="0" applyAlignment="0" applyProtection="0"/>
    <xf numFmtId="0" fontId="7" fillId="0" borderId="0"/>
    <xf numFmtId="0" fontId="16" fillId="5" borderId="0" applyNumberFormat="0" applyBorder="0" applyAlignment="0" applyProtection="0"/>
    <xf numFmtId="0" fontId="17" fillId="3" borderId="0" applyNumberFormat="0" applyBorder="0" applyAlignment="0" applyProtection="0"/>
    <xf numFmtId="43" fontId="7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52" fillId="13" borderId="0" applyNumberFormat="0" applyBorder="0" applyAlignment="0" applyProtection="0"/>
    <xf numFmtId="0" fontId="2" fillId="14" borderId="0" applyNumberFormat="0" applyBorder="0" applyAlignment="0" applyProtection="0"/>
    <xf numFmtId="0" fontId="52" fillId="3" borderId="0" applyNumberFormat="0" applyBorder="0" applyAlignment="0" applyProtection="0"/>
    <xf numFmtId="0" fontId="2" fillId="15" borderId="0" applyNumberFormat="0" applyBorder="0" applyAlignment="0" applyProtection="0"/>
    <xf numFmtId="43" fontId="8" fillId="0" borderId="0" applyFont="0" applyFill="0" applyBorder="0" applyAlignment="0" applyProtection="0"/>
    <xf numFmtId="0" fontId="97" fillId="0" borderId="0" applyNumberFormat="0" applyFill="0" applyBorder="0" applyAlignment="0" applyProtection="0"/>
    <xf numFmtId="0" fontId="98" fillId="0" borderId="0" applyNumberFormat="0" applyFill="0" applyBorder="0" applyAlignment="0" applyProtection="0"/>
  </cellStyleXfs>
  <cellXfs count="406">
    <xf numFmtId="0" fontId="0" fillId="0" borderId="0" xfId="0"/>
    <xf numFmtId="0" fontId="9" fillId="0" borderId="0" xfId="0" applyFont="1" applyProtection="1">
      <protection hidden="1"/>
    </xf>
    <xf numFmtId="0" fontId="10" fillId="0" borderId="0" xfId="0" applyFont="1" applyAlignment="1" applyProtection="1">
      <alignment textRotation="90"/>
      <protection hidden="1"/>
    </xf>
    <xf numFmtId="0" fontId="11" fillId="0" borderId="0" xfId="0" applyFont="1" applyAlignment="1" applyProtection="1">
      <alignment horizontal="center"/>
      <protection hidden="1"/>
    </xf>
    <xf numFmtId="0" fontId="12" fillId="0" borderId="0" xfId="0" applyFont="1" applyAlignment="1" applyProtection="1">
      <alignment horizontal="left"/>
      <protection hidden="1"/>
    </xf>
    <xf numFmtId="0" fontId="9" fillId="0" borderId="0" xfId="0" applyFont="1" applyAlignment="1" applyProtection="1">
      <alignment horizontal="center"/>
      <protection hidden="1"/>
    </xf>
    <xf numFmtId="166" fontId="6" fillId="0" borderId="0" xfId="0" applyNumberFormat="1" applyFont="1" applyAlignment="1" applyProtection="1">
      <alignment horizontal="left"/>
      <protection hidden="1"/>
    </xf>
    <xf numFmtId="0" fontId="9" fillId="0" borderId="0" xfId="0" applyFont="1" applyAlignment="1">
      <alignment horizontal="center" vertical="center"/>
    </xf>
    <xf numFmtId="0" fontId="18" fillId="0" borderId="0" xfId="0" applyFont="1" applyAlignment="1" applyProtection="1">
      <alignment horizontal="center" vertical="center"/>
      <protection hidden="1"/>
    </xf>
    <xf numFmtId="0" fontId="3" fillId="0" borderId="0" xfId="0" applyFont="1" applyProtection="1">
      <protection hidden="1"/>
    </xf>
    <xf numFmtId="0" fontId="9" fillId="0" borderId="0" xfId="0" applyFont="1" applyAlignment="1" applyProtection="1">
      <alignment horizontal="center"/>
      <protection locked="0"/>
    </xf>
    <xf numFmtId="0" fontId="10" fillId="0" borderId="0" xfId="0" applyFont="1" applyAlignment="1" applyProtection="1">
      <alignment horizontal="center" textRotation="90"/>
      <protection hidden="1"/>
    </xf>
    <xf numFmtId="0" fontId="12" fillId="0" borderId="0" xfId="0" applyFont="1" applyAlignment="1" applyProtection="1">
      <alignment horizontal="center"/>
      <protection hidden="1"/>
    </xf>
    <xf numFmtId="0" fontId="4" fillId="2" borderId="6" xfId="0" applyFont="1" applyFill="1" applyBorder="1" applyAlignment="1">
      <alignment horizontal="center" vertical="center"/>
    </xf>
    <xf numFmtId="164" fontId="4" fillId="2" borderId="6" xfId="0" applyNumberFormat="1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left" vertical="center"/>
    </xf>
    <xf numFmtId="0" fontId="5" fillId="10" borderId="7" xfId="0" applyFont="1" applyFill="1" applyBorder="1" applyAlignment="1">
      <alignment horizontal="center" vertical="center"/>
    </xf>
    <xf numFmtId="0" fontId="5" fillId="10" borderId="7" xfId="5" applyFont="1" applyFill="1" applyBorder="1" applyAlignment="1">
      <alignment horizontal="center" vertical="center"/>
    </xf>
    <xf numFmtId="167" fontId="5" fillId="10" borderId="7" xfId="4" applyNumberFormat="1" applyFont="1" applyFill="1" applyBorder="1" applyAlignment="1">
      <alignment horizontal="center" vertical="center"/>
    </xf>
    <xf numFmtId="0" fontId="5" fillId="10" borderId="7" xfId="6" applyFont="1" applyFill="1" applyBorder="1" applyAlignment="1">
      <alignment horizontal="center" vertical="center"/>
    </xf>
    <xf numFmtId="0" fontId="5" fillId="10" borderId="2" xfId="0" applyFont="1" applyFill="1" applyBorder="1" applyAlignment="1">
      <alignment horizontal="center" vertical="center" shrinkToFit="1"/>
    </xf>
    <xf numFmtId="167" fontId="5" fillId="10" borderId="2" xfId="4" applyNumberFormat="1" applyFont="1" applyFill="1" applyBorder="1" applyAlignment="1">
      <alignment horizontal="center" vertical="center"/>
    </xf>
    <xf numFmtId="0" fontId="5" fillId="10" borderId="2" xfId="6" applyFont="1" applyFill="1" applyBorder="1" applyAlignment="1" applyProtection="1">
      <alignment horizontal="center" vertical="center"/>
      <protection hidden="1"/>
    </xf>
    <xf numFmtId="0" fontId="5" fillId="10" borderId="2" xfId="0" applyFont="1" applyFill="1" applyBorder="1" applyAlignment="1" applyProtection="1">
      <alignment horizontal="center" vertical="center"/>
      <protection hidden="1"/>
    </xf>
    <xf numFmtId="0" fontId="9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14" fillId="0" borderId="0" xfId="0" applyFont="1" applyAlignment="1" applyProtection="1">
      <alignment horizontal="right" vertical="center"/>
      <protection hidden="1"/>
    </xf>
    <xf numFmtId="0" fontId="23" fillId="0" borderId="0" xfId="3" applyFont="1" applyFill="1" applyBorder="1" applyAlignment="1" applyProtection="1">
      <alignment horizontal="right" vertical="center"/>
      <protection hidden="1"/>
    </xf>
    <xf numFmtId="0" fontId="20" fillId="0" borderId="0" xfId="3" applyFont="1" applyFill="1" applyBorder="1" applyAlignment="1" applyProtection="1">
      <alignment horizontal="left"/>
      <protection hidden="1"/>
    </xf>
    <xf numFmtId="0" fontId="21" fillId="0" borderId="0" xfId="3" applyFont="1" applyFill="1" applyBorder="1" applyAlignment="1" applyProtection="1">
      <alignment horizontal="center" vertical="center"/>
      <protection hidden="1"/>
    </xf>
    <xf numFmtId="0" fontId="21" fillId="2" borderId="8" xfId="3" applyFont="1" applyFill="1" applyBorder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left"/>
      <protection hidden="1"/>
    </xf>
    <xf numFmtId="0" fontId="13" fillId="0" borderId="0" xfId="3" applyFont="1" applyFill="1" applyBorder="1" applyAlignment="1" applyProtection="1">
      <alignment horizontal="center" vertical="center"/>
      <protection hidden="1"/>
    </xf>
    <xf numFmtId="0" fontId="5" fillId="10" borderId="10" xfId="6" applyFont="1" applyFill="1" applyBorder="1" applyAlignment="1" applyProtection="1">
      <alignment horizontal="center" vertical="center"/>
      <protection hidden="1"/>
    </xf>
    <xf numFmtId="0" fontId="9" fillId="0" borderId="9" xfId="0" applyFont="1" applyBorder="1" applyAlignment="1" applyProtection="1">
      <alignment horizontal="center"/>
      <protection hidden="1"/>
    </xf>
    <xf numFmtId="0" fontId="5" fillId="10" borderId="11" xfId="6" applyFont="1" applyFill="1" applyBorder="1" applyAlignment="1">
      <alignment horizontal="center" vertical="center"/>
    </xf>
    <xf numFmtId="0" fontId="5" fillId="10" borderId="13" xfId="0" applyFont="1" applyFill="1" applyBorder="1" applyAlignment="1">
      <alignment horizontal="center" vertical="center" shrinkToFit="1"/>
    </xf>
    <xf numFmtId="0" fontId="9" fillId="0" borderId="12" xfId="0" applyFont="1" applyBorder="1" applyAlignment="1">
      <alignment horizontal="center" vertical="center"/>
    </xf>
    <xf numFmtId="0" fontId="5" fillId="10" borderId="14" xfId="0" applyFont="1" applyFill="1" applyBorder="1" applyAlignment="1">
      <alignment horizontal="center" vertical="center"/>
    </xf>
    <xf numFmtId="166" fontId="19" fillId="10" borderId="0" xfId="0" applyNumberFormat="1" applyFont="1" applyFill="1" applyAlignment="1" applyProtection="1">
      <alignment horizontal="center" vertical="center"/>
      <protection hidden="1"/>
    </xf>
    <xf numFmtId="0" fontId="21" fillId="8" borderId="0" xfId="3" applyFont="1" applyFill="1" applyBorder="1" applyAlignment="1" applyProtection="1">
      <alignment horizontal="center" vertical="center"/>
      <protection hidden="1"/>
    </xf>
    <xf numFmtId="0" fontId="9" fillId="11" borderId="0" xfId="0" applyFont="1" applyFill="1" applyProtection="1">
      <protection hidden="1"/>
    </xf>
    <xf numFmtId="0" fontId="9" fillId="11" borderId="0" xfId="0" applyFont="1" applyFill="1" applyAlignment="1" applyProtection="1">
      <alignment vertical="center"/>
      <protection hidden="1"/>
    </xf>
    <xf numFmtId="0" fontId="9" fillId="11" borderId="0" xfId="0" applyFont="1" applyFill="1" applyAlignment="1" applyProtection="1">
      <alignment horizontal="center"/>
      <protection hidden="1"/>
    </xf>
    <xf numFmtId="0" fontId="18" fillId="11" borderId="0" xfId="0" applyFont="1" applyFill="1" applyAlignment="1" applyProtection="1">
      <alignment horizontal="center" vertical="center"/>
      <protection hidden="1"/>
    </xf>
    <xf numFmtId="0" fontId="23" fillId="0" borderId="0" xfId="3" applyFont="1" applyFill="1" applyBorder="1" applyAlignment="1" applyProtection="1">
      <alignment horizontal="left"/>
      <protection hidden="1"/>
    </xf>
    <xf numFmtId="168" fontId="4" fillId="2" borderId="6" xfId="0" applyNumberFormat="1" applyFont="1" applyFill="1" applyBorder="1" applyAlignment="1">
      <alignment horizontal="center" vertical="center"/>
    </xf>
    <xf numFmtId="168" fontId="4" fillId="2" borderId="5" xfId="0" applyNumberFormat="1" applyFont="1" applyFill="1" applyBorder="1" applyAlignment="1">
      <alignment horizontal="center" vertical="center"/>
    </xf>
    <xf numFmtId="0" fontId="5" fillId="10" borderId="2" xfId="4" applyFont="1" applyFill="1" applyBorder="1" applyAlignment="1">
      <alignment horizontal="center" vertical="center"/>
    </xf>
    <xf numFmtId="0" fontId="5" fillId="10" borderId="7" xfId="5" applyNumberFormat="1" applyFont="1" applyFill="1" applyBorder="1" applyAlignment="1">
      <alignment horizontal="center" vertical="center"/>
    </xf>
    <xf numFmtId="0" fontId="20" fillId="0" borderId="0" xfId="3" applyFont="1" applyFill="1" applyBorder="1" applyAlignment="1" applyProtection="1">
      <alignment horizontal="center"/>
      <protection hidden="1"/>
    </xf>
    <xf numFmtId="0" fontId="23" fillId="0" borderId="0" xfId="3" applyFont="1" applyFill="1" applyBorder="1" applyAlignment="1" applyProtection="1">
      <alignment horizontal="center" vertical="center"/>
      <protection hidden="1"/>
    </xf>
    <xf numFmtId="0" fontId="12" fillId="0" borderId="0" xfId="0" applyFont="1" applyAlignment="1" applyProtection="1">
      <alignment horizontal="center" vertical="center"/>
      <protection hidden="1"/>
    </xf>
    <xf numFmtId="0" fontId="25" fillId="0" borderId="0" xfId="0" applyFont="1" applyAlignment="1">
      <alignment vertical="center"/>
    </xf>
    <xf numFmtId="0" fontId="24" fillId="0" borderId="0" xfId="0" applyFont="1" applyAlignment="1">
      <alignment vertical="center"/>
    </xf>
    <xf numFmtId="0" fontId="24" fillId="0" borderId="19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5" fillId="0" borderId="19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25" fillId="0" borderId="0" xfId="0" applyFont="1" applyAlignment="1">
      <alignment vertical="top"/>
    </xf>
    <xf numFmtId="0" fontId="25" fillId="0" borderId="0" xfId="0" applyFont="1"/>
    <xf numFmtId="0" fontId="25" fillId="0" borderId="19" xfId="0" applyFont="1" applyBorder="1"/>
    <xf numFmtId="0" fontId="25" fillId="0" borderId="20" xfId="0" applyFont="1" applyBorder="1"/>
    <xf numFmtId="0" fontId="28" fillId="0" borderId="19" xfId="0" applyFont="1" applyBorder="1" applyAlignment="1">
      <alignment horizontal="left" vertical="center"/>
    </xf>
    <xf numFmtId="0" fontId="28" fillId="0" borderId="0" xfId="0" applyFont="1" applyAlignment="1">
      <alignment horizontal="left" vertical="center"/>
    </xf>
    <xf numFmtId="0" fontId="28" fillId="0" borderId="20" xfId="0" applyFont="1" applyBorder="1" applyAlignment="1">
      <alignment horizontal="left" vertical="center"/>
    </xf>
    <xf numFmtId="0" fontId="24" fillId="0" borderId="0" xfId="0" applyFont="1"/>
    <xf numFmtId="0" fontId="24" fillId="0" borderId="19" xfId="0" applyFont="1" applyBorder="1"/>
    <xf numFmtId="0" fontId="24" fillId="0" borderId="20" xfId="0" applyFont="1" applyBorder="1"/>
    <xf numFmtId="0" fontId="34" fillId="0" borderId="0" xfId="0" applyFont="1"/>
    <xf numFmtId="0" fontId="25" fillId="0" borderId="0" xfId="0" applyFont="1" applyAlignment="1">
      <alignment horizontal="center" vertical="center"/>
    </xf>
    <xf numFmtId="0" fontId="34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0" fontId="25" fillId="0" borderId="35" xfId="0" applyFont="1" applyBorder="1" applyAlignment="1">
      <alignment vertical="center"/>
    </xf>
    <xf numFmtId="0" fontId="25" fillId="0" borderId="21" xfId="0" applyFont="1" applyBorder="1" applyAlignment="1">
      <alignment vertical="center"/>
    </xf>
    <xf numFmtId="0" fontId="25" fillId="0" borderId="22" xfId="0" applyFont="1" applyBorder="1" applyAlignment="1">
      <alignment vertical="center"/>
    </xf>
    <xf numFmtId="0" fontId="25" fillId="0" borderId="23" xfId="0" applyFont="1" applyBorder="1" applyAlignment="1">
      <alignment vertical="center"/>
    </xf>
    <xf numFmtId="0" fontId="25" fillId="0" borderId="31" xfId="0" applyFont="1" applyBorder="1" applyAlignment="1">
      <alignment vertical="center"/>
    </xf>
    <xf numFmtId="0" fontId="25" fillId="0" borderId="32" xfId="0" applyFont="1" applyBorder="1" applyAlignment="1">
      <alignment vertical="center"/>
    </xf>
    <xf numFmtId="0" fontId="25" fillId="0" borderId="33" xfId="0" applyFont="1" applyBorder="1" applyAlignment="1">
      <alignment vertical="center"/>
    </xf>
    <xf numFmtId="0" fontId="25" fillId="0" borderId="37" xfId="0" applyFont="1" applyBorder="1" applyAlignment="1">
      <alignment vertical="center"/>
    </xf>
    <xf numFmtId="0" fontId="25" fillId="0" borderId="34" xfId="0" applyFont="1" applyBorder="1" applyAlignment="1">
      <alignment vertical="center"/>
    </xf>
    <xf numFmtId="0" fontId="25" fillId="0" borderId="38" xfId="0" applyFont="1" applyBorder="1" applyAlignment="1">
      <alignment vertical="center"/>
    </xf>
    <xf numFmtId="0" fontId="25" fillId="0" borderId="35" xfId="0" applyFont="1" applyBorder="1" applyAlignment="1">
      <alignment horizontal="center" vertical="center"/>
    </xf>
    <xf numFmtId="0" fontId="25" fillId="0" borderId="0" xfId="0" quotePrefix="1" applyFont="1" applyAlignment="1">
      <alignment vertical="center"/>
    </xf>
    <xf numFmtId="0" fontId="25" fillId="0" borderId="19" xfId="0" applyFont="1" applyBorder="1" applyAlignment="1">
      <alignment vertical="top"/>
    </xf>
    <xf numFmtId="0" fontId="25" fillId="0" borderId="20" xfId="0" applyFont="1" applyBorder="1" applyAlignment="1">
      <alignment vertical="top"/>
    </xf>
    <xf numFmtId="0" fontId="30" fillId="0" borderId="0" xfId="0" applyFont="1" applyAlignment="1">
      <alignment vertical="center"/>
    </xf>
    <xf numFmtId="0" fontId="43" fillId="0" borderId="19" xfId="0" applyFont="1" applyBorder="1" applyAlignment="1">
      <alignment vertical="center"/>
    </xf>
    <xf numFmtId="0" fontId="43" fillId="0" borderId="0" xfId="0" applyFont="1" applyAlignment="1">
      <alignment vertical="center"/>
    </xf>
    <xf numFmtId="0" fontId="43" fillId="0" borderId="20" xfId="0" applyFont="1" applyBorder="1" applyAlignment="1">
      <alignment vertical="center"/>
    </xf>
    <xf numFmtId="0" fontId="31" fillId="0" borderId="0" xfId="0" applyFont="1" applyAlignment="1">
      <alignment vertical="center"/>
    </xf>
    <xf numFmtId="0" fontId="47" fillId="0" borderId="0" xfId="0" applyFont="1" applyAlignment="1">
      <alignment vertical="center"/>
    </xf>
    <xf numFmtId="0" fontId="46" fillId="0" borderId="0" xfId="0" applyFont="1" applyAlignment="1">
      <alignment vertical="center"/>
    </xf>
    <xf numFmtId="0" fontId="25" fillId="0" borderId="15" xfId="0" applyFont="1" applyBorder="1" applyAlignment="1">
      <alignment vertical="center"/>
    </xf>
    <xf numFmtId="0" fontId="30" fillId="0" borderId="15" xfId="0" applyFont="1" applyBorder="1" applyAlignment="1">
      <alignment vertical="center"/>
    </xf>
    <xf numFmtId="0" fontId="31" fillId="0" borderId="33" xfId="0" applyFont="1" applyBorder="1" applyAlignment="1">
      <alignment vertical="center"/>
    </xf>
    <xf numFmtId="0" fontId="49" fillId="12" borderId="0" xfId="0" applyFont="1" applyFill="1" applyAlignment="1">
      <alignment horizontal="left" vertical="center"/>
    </xf>
    <xf numFmtId="0" fontId="32" fillId="0" borderId="0" xfId="0" applyFont="1" applyAlignment="1">
      <alignment vertical="center"/>
    </xf>
    <xf numFmtId="0" fontId="53" fillId="0" borderId="0" xfId="0" applyFont="1" applyAlignment="1">
      <alignment vertical="center"/>
    </xf>
    <xf numFmtId="0" fontId="55" fillId="0" borderId="0" xfId="0" applyFont="1" applyAlignment="1">
      <alignment vertical="center"/>
    </xf>
    <xf numFmtId="0" fontId="56" fillId="0" borderId="0" xfId="0" applyFont="1" applyAlignment="1">
      <alignment horizontal="center" vertical="center"/>
    </xf>
    <xf numFmtId="0" fontId="54" fillId="0" borderId="0" xfId="0" applyFont="1" applyAlignment="1">
      <alignment horizontal="left" vertical="center"/>
    </xf>
    <xf numFmtId="0" fontId="57" fillId="0" borderId="0" xfId="0" applyFont="1" applyAlignment="1">
      <alignment vertical="center"/>
    </xf>
    <xf numFmtId="0" fontId="58" fillId="0" borderId="0" xfId="0" applyFont="1" applyAlignment="1">
      <alignment vertical="center"/>
    </xf>
    <xf numFmtId="20" fontId="59" fillId="0" borderId="0" xfId="0" applyNumberFormat="1" applyFont="1" applyAlignment="1">
      <alignment vertical="center"/>
    </xf>
    <xf numFmtId="20" fontId="58" fillId="0" borderId="0" xfId="0" applyNumberFormat="1" applyFont="1" applyAlignment="1">
      <alignment horizontal="right" vertical="center"/>
    </xf>
    <xf numFmtId="0" fontId="59" fillId="0" borderId="0" xfId="0" applyFont="1" applyAlignment="1">
      <alignment vertical="center"/>
    </xf>
    <xf numFmtId="0" fontId="58" fillId="0" borderId="0" xfId="0" applyFont="1" applyAlignment="1">
      <alignment horizontal="right" vertical="center"/>
    </xf>
    <xf numFmtId="0" fontId="60" fillId="0" borderId="0" xfId="0" applyFont="1" applyAlignment="1">
      <alignment horizontal="right" vertical="center"/>
    </xf>
    <xf numFmtId="0" fontId="61" fillId="0" borderId="4" xfId="0" applyFont="1" applyBorder="1" applyAlignment="1">
      <alignment horizontal="center" vertical="center"/>
    </xf>
    <xf numFmtId="0" fontId="62" fillId="0" borderId="4" xfId="0" applyFont="1" applyBorder="1" applyAlignment="1">
      <alignment horizontal="center" vertical="center"/>
    </xf>
    <xf numFmtId="0" fontId="63" fillId="0" borderId="0" xfId="0" applyFont="1" applyAlignment="1">
      <alignment vertical="center"/>
    </xf>
    <xf numFmtId="0" fontId="65" fillId="0" borderId="0" xfId="0" applyFont="1" applyAlignment="1">
      <alignment vertical="center"/>
    </xf>
    <xf numFmtId="0" fontId="65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4" fillId="2" borderId="6" xfId="0" applyFont="1" applyFill="1" applyBorder="1" applyAlignment="1">
      <alignment vertical="center"/>
    </xf>
    <xf numFmtId="0" fontId="4" fillId="2" borderId="5" xfId="0" applyFont="1" applyFill="1" applyBorder="1" applyAlignment="1">
      <alignment vertical="center"/>
    </xf>
    <xf numFmtId="0" fontId="66" fillId="0" borderId="0" xfId="3" applyFont="1" applyFill="1" applyBorder="1" applyAlignment="1" applyProtection="1">
      <alignment horizontal="left"/>
      <protection hidden="1"/>
    </xf>
    <xf numFmtId="0" fontId="21" fillId="2" borderId="0" xfId="3" applyFont="1" applyFill="1" applyBorder="1" applyAlignment="1" applyProtection="1">
      <alignment horizontal="center" vertical="center"/>
      <protection hidden="1"/>
    </xf>
    <xf numFmtId="0" fontId="64" fillId="3" borderId="0" xfId="11" applyFont="1" applyAlignment="1">
      <alignment horizontal="left" vertical="center"/>
    </xf>
    <xf numFmtId="0" fontId="52" fillId="13" borderId="0" xfId="9" applyAlignment="1">
      <alignment vertical="center"/>
    </xf>
    <xf numFmtId="0" fontId="63" fillId="0" borderId="0" xfId="0" applyFont="1" applyAlignment="1">
      <alignment horizontal="left" vertical="center"/>
    </xf>
    <xf numFmtId="0" fontId="65" fillId="0" borderId="0" xfId="0" applyFont="1" applyAlignment="1">
      <alignment horizontal="left" vertical="center"/>
    </xf>
    <xf numFmtId="164" fontId="4" fillId="2" borderId="6" xfId="0" applyNumberFormat="1" applyFont="1" applyFill="1" applyBorder="1" applyAlignment="1">
      <alignment horizontal="left" vertical="center"/>
    </xf>
    <xf numFmtId="164" fontId="4" fillId="2" borderId="5" xfId="0" applyNumberFormat="1" applyFont="1" applyFill="1" applyBorder="1" applyAlignment="1">
      <alignment horizontal="left" vertical="center"/>
    </xf>
    <xf numFmtId="168" fontId="4" fillId="2" borderId="6" xfId="0" applyNumberFormat="1" applyFont="1" applyFill="1" applyBorder="1" applyAlignment="1">
      <alignment horizontal="left" vertical="center"/>
    </xf>
    <xf numFmtId="0" fontId="67" fillId="0" borderId="0" xfId="0" applyFont="1" applyAlignment="1" applyProtection="1">
      <alignment horizontal="left"/>
      <protection hidden="1"/>
    </xf>
    <xf numFmtId="0" fontId="67" fillId="0" borderId="0" xfId="0" applyFont="1" applyProtection="1">
      <protection hidden="1"/>
    </xf>
    <xf numFmtId="0" fontId="67" fillId="0" borderId="0" xfId="0" applyFont="1" applyAlignment="1" applyProtection="1">
      <alignment horizontal="center"/>
      <protection hidden="1"/>
    </xf>
    <xf numFmtId="0" fontId="62" fillId="0" borderId="0" xfId="0" applyFont="1" applyAlignment="1">
      <alignment horizontal="center" vertical="center"/>
    </xf>
    <xf numFmtId="0" fontId="6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164" fontId="67" fillId="0" borderId="0" xfId="0" applyNumberFormat="1" applyFont="1" applyAlignment="1" applyProtection="1">
      <alignment horizontal="center"/>
      <protection hidden="1"/>
    </xf>
    <xf numFmtId="170" fontId="67" fillId="0" borderId="0" xfId="0" applyNumberFormat="1" applyFont="1" applyAlignment="1" applyProtection="1">
      <alignment horizontal="center"/>
      <protection hidden="1"/>
    </xf>
    <xf numFmtId="168" fontId="67" fillId="0" borderId="0" xfId="0" applyNumberFormat="1" applyFont="1" applyAlignment="1" applyProtection="1">
      <alignment horizontal="center"/>
      <protection hidden="1"/>
    </xf>
    <xf numFmtId="0" fontId="32" fillId="0" borderId="3" xfId="0" applyFont="1" applyBorder="1" applyAlignment="1">
      <alignment horizontal="left" vertical="center"/>
    </xf>
    <xf numFmtId="0" fontId="32" fillId="0" borderId="3" xfId="0" applyFont="1" applyBorder="1" applyAlignment="1">
      <alignment horizontal="left" vertical="top"/>
    </xf>
    <xf numFmtId="0" fontId="55" fillId="0" borderId="56" xfId="0" applyFont="1" applyBorder="1" applyAlignment="1">
      <alignment vertical="center"/>
    </xf>
    <xf numFmtId="0" fontId="53" fillId="0" borderId="56" xfId="0" applyFont="1" applyBorder="1" applyAlignment="1">
      <alignment vertical="center"/>
    </xf>
    <xf numFmtId="0" fontId="68" fillId="0" borderId="0" xfId="0" applyFont="1" applyAlignment="1">
      <alignment vertical="center"/>
    </xf>
    <xf numFmtId="0" fontId="68" fillId="14" borderId="0" xfId="10" applyFont="1" applyAlignment="1">
      <alignment vertical="center"/>
    </xf>
    <xf numFmtId="0" fontId="68" fillId="15" borderId="0" xfId="12" applyFont="1" applyAlignment="1">
      <alignment vertical="center"/>
    </xf>
    <xf numFmtId="0" fontId="24" fillId="0" borderId="0" xfId="0" applyFont="1" applyAlignment="1">
      <alignment horizontal="center" vertical="center"/>
    </xf>
    <xf numFmtId="168" fontId="9" fillId="0" borderId="0" xfId="0" applyNumberFormat="1" applyFont="1" applyProtection="1">
      <protection hidden="1"/>
    </xf>
    <xf numFmtId="0" fontId="69" fillId="0" borderId="0" xfId="0" applyFont="1" applyAlignment="1">
      <alignment horizontal="center" vertical="center"/>
    </xf>
    <xf numFmtId="0" fontId="4" fillId="8" borderId="5" xfId="0" applyFont="1" applyFill="1" applyBorder="1" applyAlignment="1">
      <alignment horizontal="left" vertical="center"/>
    </xf>
    <xf numFmtId="0" fontId="4" fillId="8" borderId="6" xfId="0" applyFont="1" applyFill="1" applyBorder="1" applyAlignment="1">
      <alignment horizontal="left" vertical="center"/>
    </xf>
    <xf numFmtId="0" fontId="4" fillId="8" borderId="6" xfId="0" applyFont="1" applyFill="1" applyBorder="1" applyAlignment="1">
      <alignment horizontal="center" vertical="center"/>
    </xf>
    <xf numFmtId="164" fontId="4" fillId="8" borderId="6" xfId="0" applyNumberFormat="1" applyFont="1" applyFill="1" applyBorder="1" applyAlignment="1">
      <alignment horizontal="center" vertical="center"/>
    </xf>
    <xf numFmtId="168" fontId="4" fillId="8" borderId="6" xfId="0" applyNumberFormat="1" applyFont="1" applyFill="1" applyBorder="1" applyAlignment="1">
      <alignment horizontal="center" vertical="center"/>
    </xf>
    <xf numFmtId="170" fontId="4" fillId="8" borderId="6" xfId="0" applyNumberFormat="1" applyFont="1" applyFill="1" applyBorder="1" applyAlignment="1">
      <alignment horizontal="center" vertical="center"/>
    </xf>
    <xf numFmtId="170" fontId="67" fillId="8" borderId="6" xfId="0" applyNumberFormat="1" applyFont="1" applyFill="1" applyBorder="1" applyAlignment="1">
      <alignment horizontal="center" vertical="center"/>
    </xf>
    <xf numFmtId="0" fontId="4" fillId="8" borderId="5" xfId="0" applyFont="1" applyFill="1" applyBorder="1" applyAlignment="1">
      <alignment horizontal="center" vertical="center"/>
    </xf>
    <xf numFmtId="0" fontId="4" fillId="0" borderId="0" xfId="0" applyFont="1" applyAlignment="1" applyProtection="1">
      <alignment horizontal="center"/>
      <protection hidden="1"/>
    </xf>
    <xf numFmtId="0" fontId="73" fillId="0" borderId="0" xfId="0" applyFont="1"/>
    <xf numFmtId="0" fontId="73" fillId="0" borderId="31" xfId="0" applyFont="1" applyBorder="1"/>
    <xf numFmtId="0" fontId="74" fillId="0" borderId="36" xfId="0" applyFont="1" applyBorder="1" applyAlignment="1">
      <alignment vertical="center"/>
    </xf>
    <xf numFmtId="0" fontId="74" fillId="0" borderId="52" xfId="0" applyFont="1" applyBorder="1"/>
    <xf numFmtId="0" fontId="74" fillId="0" borderId="52" xfId="0" applyFont="1" applyBorder="1" applyAlignment="1">
      <alignment horizontal="left"/>
    </xf>
    <xf numFmtId="0" fontId="74" fillId="0" borderId="34" xfId="0" applyFont="1" applyBorder="1"/>
    <xf numFmtId="0" fontId="74" fillId="0" borderId="38" xfId="0" applyFont="1" applyBorder="1"/>
    <xf numFmtId="0" fontId="74" fillId="0" borderId="4" xfId="0" applyFont="1" applyBorder="1"/>
    <xf numFmtId="15" fontId="74" fillId="0" borderId="4" xfId="0" applyNumberFormat="1" applyFont="1" applyBorder="1" applyAlignment="1">
      <alignment horizontal="left"/>
    </xf>
    <xf numFmtId="0" fontId="74" fillId="0" borderId="36" xfId="0" applyFont="1" applyBorder="1" applyAlignment="1">
      <alignment horizontal="center" vertical="top"/>
    </xf>
    <xf numFmtId="0" fontId="74" fillId="0" borderId="52" xfId="0" applyFont="1" applyBorder="1" applyAlignment="1">
      <alignment horizontal="center" vertical="top"/>
    </xf>
    <xf numFmtId="0" fontId="74" fillId="0" borderId="31" xfId="0" applyFont="1" applyBorder="1" applyAlignment="1">
      <alignment horizontal="center" vertical="top"/>
    </xf>
    <xf numFmtId="0" fontId="73" fillId="0" borderId="0" xfId="0" applyFont="1" applyAlignment="1">
      <alignment horizontal="center" vertical="top"/>
    </xf>
    <xf numFmtId="0" fontId="74" fillId="0" borderId="38" xfId="0" applyFont="1" applyBorder="1" applyAlignment="1">
      <alignment horizontal="center"/>
    </xf>
    <xf numFmtId="0" fontId="74" fillId="0" borderId="44" xfId="0" applyFont="1" applyBorder="1" applyAlignment="1">
      <alignment horizontal="center"/>
    </xf>
    <xf numFmtId="0" fontId="74" fillId="0" borderId="34" xfId="0" applyFont="1" applyBorder="1" applyAlignment="1">
      <alignment horizontal="center"/>
    </xf>
    <xf numFmtId="0" fontId="73" fillId="0" borderId="0" xfId="0" applyFont="1" applyAlignment="1">
      <alignment horizontal="center"/>
    </xf>
    <xf numFmtId="0" fontId="74" fillId="0" borderId="31" xfId="0" applyFont="1" applyBorder="1"/>
    <xf numFmtId="0" fontId="74" fillId="0" borderId="36" xfId="0" applyFont="1" applyBorder="1"/>
    <xf numFmtId="0" fontId="76" fillId="0" borderId="32" xfId="0" applyFont="1" applyBorder="1" applyAlignment="1">
      <alignment horizontal="center" vertical="center"/>
    </xf>
    <xf numFmtId="0" fontId="73" fillId="0" borderId="57" xfId="0" applyFont="1" applyBorder="1"/>
    <xf numFmtId="0" fontId="73" fillId="0" borderId="32" xfId="0" applyFont="1" applyBorder="1"/>
    <xf numFmtId="0" fontId="73" fillId="0" borderId="58" xfId="0" applyFont="1" applyBorder="1"/>
    <xf numFmtId="0" fontId="73" fillId="0" borderId="36" xfId="0" applyFont="1" applyBorder="1"/>
    <xf numFmtId="0" fontId="73" fillId="0" borderId="33" xfId="0" applyFont="1" applyBorder="1"/>
    <xf numFmtId="0" fontId="73" fillId="0" borderId="37" xfId="0" applyFont="1" applyBorder="1"/>
    <xf numFmtId="0" fontId="73" fillId="0" borderId="59" xfId="0" applyFont="1" applyBorder="1"/>
    <xf numFmtId="0" fontId="77" fillId="0" borderId="33" xfId="0" applyFont="1" applyBorder="1"/>
    <xf numFmtId="0" fontId="77" fillId="0" borderId="37" xfId="0" applyFont="1" applyBorder="1"/>
    <xf numFmtId="0" fontId="77" fillId="0" borderId="60" xfId="0" applyFont="1" applyBorder="1"/>
    <xf numFmtId="0" fontId="77" fillId="0" borderId="61" xfId="0" applyFont="1" applyBorder="1"/>
    <xf numFmtId="0" fontId="73" fillId="0" borderId="62" xfId="0" applyFont="1" applyBorder="1"/>
    <xf numFmtId="0" fontId="73" fillId="0" borderId="63" xfId="0" applyFont="1" applyBorder="1"/>
    <xf numFmtId="0" fontId="73" fillId="0" borderId="64" xfId="0" applyFont="1" applyBorder="1"/>
    <xf numFmtId="0" fontId="73" fillId="0" borderId="61" xfId="0" applyFont="1" applyBorder="1"/>
    <xf numFmtId="0" fontId="74" fillId="0" borderId="33" xfId="0" applyFont="1" applyBorder="1"/>
    <xf numFmtId="0" fontId="74" fillId="0" borderId="37" xfId="0" applyFont="1" applyBorder="1"/>
    <xf numFmtId="0" fontId="76" fillId="0" borderId="59" xfId="0" applyFont="1" applyBorder="1" applyAlignment="1">
      <alignment horizontal="center"/>
    </xf>
    <xf numFmtId="0" fontId="73" fillId="0" borderId="34" xfId="0" applyFont="1" applyBorder="1"/>
    <xf numFmtId="0" fontId="73" fillId="0" borderId="38" xfId="0" applyFont="1" applyBorder="1"/>
    <xf numFmtId="0" fontId="73" fillId="0" borderId="35" xfId="0" applyFont="1" applyBorder="1"/>
    <xf numFmtId="0" fontId="73" fillId="0" borderId="65" xfId="0" applyFont="1" applyBorder="1"/>
    <xf numFmtId="15" fontId="73" fillId="0" borderId="0" xfId="0" applyNumberFormat="1" applyFont="1"/>
    <xf numFmtId="165" fontId="19" fillId="10" borderId="0" xfId="0" applyNumberFormat="1" applyFont="1" applyFill="1" applyAlignment="1" applyProtection="1">
      <alignment horizontal="center" vertical="center"/>
      <protection hidden="1"/>
    </xf>
    <xf numFmtId="0" fontId="81" fillId="0" borderId="42" xfId="0" applyFont="1" applyBorder="1" applyAlignment="1">
      <alignment horizontal="center" vertical="center"/>
    </xf>
    <xf numFmtId="0" fontId="81" fillId="0" borderId="30" xfId="0" applyFont="1" applyBorder="1" applyAlignment="1">
      <alignment horizontal="center" vertical="center"/>
    </xf>
    <xf numFmtId="0" fontId="81" fillId="0" borderId="43" xfId="0" applyFont="1" applyBorder="1" applyAlignment="1">
      <alignment horizontal="center" vertical="center"/>
    </xf>
    <xf numFmtId="0" fontId="81" fillId="0" borderId="42" xfId="0" applyFont="1" applyBorder="1" applyAlignment="1">
      <alignment horizontal="left" vertical="center"/>
    </xf>
    <xf numFmtId="0" fontId="81" fillId="0" borderId="30" xfId="0" applyFont="1" applyBorder="1" applyAlignment="1">
      <alignment horizontal="left" vertical="center"/>
    </xf>
    <xf numFmtId="0" fontId="81" fillId="0" borderId="43" xfId="0" applyFont="1" applyBorder="1" applyAlignment="1">
      <alignment horizontal="left" vertical="center"/>
    </xf>
    <xf numFmtId="0" fontId="85" fillId="0" borderId="4" xfId="0" applyFont="1" applyBorder="1" applyAlignment="1">
      <alignment horizontal="center" vertical="center"/>
    </xf>
    <xf numFmtId="0" fontId="86" fillId="0" borderId="4" xfId="0" applyFont="1" applyBorder="1" applyAlignment="1">
      <alignment horizontal="center" vertical="center"/>
    </xf>
    <xf numFmtId="0" fontId="87" fillId="0" borderId="4" xfId="0" applyFont="1" applyBorder="1" applyAlignment="1">
      <alignment horizontal="center" vertical="center"/>
    </xf>
    <xf numFmtId="0" fontId="84" fillId="0" borderId="0" xfId="0" applyFont="1" applyAlignment="1">
      <alignment horizontal="left"/>
    </xf>
    <xf numFmtId="169" fontId="84" fillId="0" borderId="0" xfId="0" applyNumberFormat="1" applyFont="1" applyAlignment="1">
      <alignment horizontal="left"/>
    </xf>
    <xf numFmtId="0" fontId="84" fillId="0" borderId="0" xfId="0" applyFont="1" applyAlignment="1">
      <alignment horizontal="left" vertical="center"/>
    </xf>
    <xf numFmtId="0" fontId="29" fillId="0" borderId="0" xfId="0" applyFont="1"/>
    <xf numFmtId="0" fontId="19" fillId="10" borderId="0" xfId="0" applyFont="1" applyFill="1" applyAlignment="1" applyProtection="1">
      <alignment horizontal="center" vertical="center"/>
      <protection hidden="1"/>
    </xf>
    <xf numFmtId="164" fontId="4" fillId="8" borderId="5" xfId="0" applyNumberFormat="1" applyFont="1" applyFill="1" applyBorder="1" applyAlignment="1">
      <alignment horizontal="center" vertical="center"/>
    </xf>
    <xf numFmtId="168" fontId="4" fillId="8" borderId="5" xfId="0" applyNumberFormat="1" applyFont="1" applyFill="1" applyBorder="1" applyAlignment="1">
      <alignment horizontal="center" vertical="center"/>
    </xf>
    <xf numFmtId="0" fontId="4" fillId="8" borderId="6" xfId="0" applyFont="1" applyFill="1" applyBorder="1" applyAlignment="1">
      <alignment horizontal="right" vertical="center"/>
    </xf>
    <xf numFmtId="0" fontId="4" fillId="8" borderId="5" xfId="0" applyFont="1" applyFill="1" applyBorder="1" applyAlignment="1">
      <alignment horizontal="right" vertical="center"/>
    </xf>
    <xf numFmtId="0" fontId="67" fillId="0" borderId="0" xfId="0" applyFont="1" applyAlignment="1" applyProtection="1">
      <alignment horizontal="right"/>
      <protection hidden="1"/>
    </xf>
    <xf numFmtId="16" fontId="4" fillId="8" borderId="5" xfId="0" applyNumberFormat="1" applyFont="1" applyFill="1" applyBorder="1" applyAlignment="1">
      <alignment horizontal="right" vertical="center"/>
    </xf>
    <xf numFmtId="14" fontId="4" fillId="8" borderId="5" xfId="0" applyNumberFormat="1" applyFont="1" applyFill="1" applyBorder="1" applyAlignment="1">
      <alignment horizontal="right" vertical="center"/>
    </xf>
    <xf numFmtId="0" fontId="91" fillId="2" borderId="5" xfId="0" applyFont="1" applyFill="1" applyBorder="1" applyAlignment="1">
      <alignment horizontal="left" vertical="center"/>
    </xf>
    <xf numFmtId="0" fontId="4" fillId="19" borderId="5" xfId="0" applyFont="1" applyFill="1" applyBorder="1" applyAlignment="1">
      <alignment horizontal="left" vertical="center"/>
    </xf>
    <xf numFmtId="0" fontId="93" fillId="17" borderId="5" xfId="0" applyFont="1" applyFill="1" applyBorder="1" applyAlignment="1">
      <alignment horizontal="left" vertical="center"/>
    </xf>
    <xf numFmtId="0" fontId="4" fillId="18" borderId="5" xfId="0" applyFont="1" applyFill="1" applyBorder="1" applyAlignment="1">
      <alignment horizontal="left" vertical="center"/>
    </xf>
    <xf numFmtId="0" fontId="94" fillId="2" borderId="5" xfId="0" applyFont="1" applyFill="1" applyBorder="1" applyAlignment="1">
      <alignment horizontal="left" vertical="center"/>
    </xf>
    <xf numFmtId="0" fontId="92" fillId="8" borderId="0" xfId="0" applyFont="1" applyFill="1" applyAlignment="1" applyProtection="1">
      <alignment horizontal="left"/>
      <protection hidden="1"/>
    </xf>
    <xf numFmtId="0" fontId="95" fillId="19" borderId="5" xfId="0" applyFont="1" applyFill="1" applyBorder="1" applyAlignment="1">
      <alignment horizontal="left" vertical="center"/>
    </xf>
    <xf numFmtId="0" fontId="96" fillId="8" borderId="5" xfId="0" applyFont="1" applyFill="1" applyBorder="1" applyAlignment="1">
      <alignment horizontal="left" vertical="center"/>
    </xf>
    <xf numFmtId="0" fontId="4" fillId="2" borderId="6" xfId="0" applyFont="1" applyFill="1" applyBorder="1" applyAlignment="1">
      <alignment horizontal="left" vertical="center"/>
    </xf>
    <xf numFmtId="168" fontId="4" fillId="2" borderId="5" xfId="0" applyNumberFormat="1" applyFont="1" applyFill="1" applyBorder="1" applyAlignment="1">
      <alignment horizontal="left" vertical="center"/>
    </xf>
    <xf numFmtId="170" fontId="4" fillId="8" borderId="5" xfId="0" applyNumberFormat="1" applyFont="1" applyFill="1" applyBorder="1" applyAlignment="1">
      <alignment horizontal="center" vertical="center"/>
    </xf>
    <xf numFmtId="170" fontId="67" fillId="8" borderId="5" xfId="0" applyNumberFormat="1" applyFont="1" applyFill="1" applyBorder="1" applyAlignment="1">
      <alignment horizontal="center" vertical="center"/>
    </xf>
    <xf numFmtId="0" fontId="4" fillId="2" borderId="66" xfId="0" applyFont="1" applyFill="1" applyBorder="1" applyAlignment="1">
      <alignment horizontal="center" vertical="center"/>
    </xf>
    <xf numFmtId="0" fontId="4" fillId="2" borderId="66" xfId="0" applyFont="1" applyFill="1" applyBorder="1" applyAlignment="1">
      <alignment vertical="center"/>
    </xf>
    <xf numFmtId="164" fontId="4" fillId="2" borderId="66" xfId="0" applyNumberFormat="1" applyFont="1" applyFill="1" applyBorder="1" applyAlignment="1">
      <alignment horizontal="left" vertical="center"/>
    </xf>
    <xf numFmtId="168" fontId="4" fillId="2" borderId="66" xfId="0" applyNumberFormat="1" applyFont="1" applyFill="1" applyBorder="1" applyAlignment="1">
      <alignment horizontal="center" vertical="center"/>
    </xf>
    <xf numFmtId="168" fontId="4" fillId="2" borderId="67" xfId="0" applyNumberFormat="1" applyFont="1" applyFill="1" applyBorder="1" applyAlignment="1">
      <alignment horizontal="left" vertical="center"/>
    </xf>
    <xf numFmtId="0" fontId="4" fillId="2" borderId="66" xfId="0" applyFont="1" applyFill="1" applyBorder="1" applyAlignment="1">
      <alignment horizontal="left" vertical="center"/>
    </xf>
    <xf numFmtId="0" fontId="4" fillId="8" borderId="66" xfId="0" applyFont="1" applyFill="1" applyBorder="1" applyAlignment="1">
      <alignment horizontal="left" vertical="center"/>
    </xf>
    <xf numFmtId="0" fontId="4" fillId="8" borderId="66" xfId="0" applyFont="1" applyFill="1" applyBorder="1" applyAlignment="1">
      <alignment horizontal="right" vertical="center"/>
    </xf>
    <xf numFmtId="0" fontId="4" fillId="8" borderId="66" xfId="0" applyFont="1" applyFill="1" applyBorder="1" applyAlignment="1">
      <alignment horizontal="center" vertical="center"/>
    </xf>
    <xf numFmtId="164" fontId="4" fillId="8" borderId="67" xfId="0" applyNumberFormat="1" applyFont="1" applyFill="1" applyBorder="1" applyAlignment="1">
      <alignment horizontal="center" vertical="center"/>
    </xf>
    <xf numFmtId="168" fontId="4" fillId="8" borderId="67" xfId="0" applyNumberFormat="1" applyFont="1" applyFill="1" applyBorder="1" applyAlignment="1">
      <alignment horizontal="center" vertical="center"/>
    </xf>
    <xf numFmtId="170" fontId="4" fillId="8" borderId="67" xfId="0" applyNumberFormat="1" applyFont="1" applyFill="1" applyBorder="1" applyAlignment="1">
      <alignment horizontal="center" vertical="center"/>
    </xf>
    <xf numFmtId="170" fontId="67" fillId="8" borderId="67" xfId="0" applyNumberFormat="1" applyFont="1" applyFill="1" applyBorder="1" applyAlignment="1">
      <alignment horizontal="center" vertical="center"/>
    </xf>
    <xf numFmtId="0" fontId="4" fillId="8" borderId="67" xfId="0" applyFont="1" applyFill="1" applyBorder="1" applyAlignment="1">
      <alignment horizontal="left" vertical="center"/>
    </xf>
    <xf numFmtId="164" fontId="4" fillId="8" borderId="5" xfId="0" applyNumberFormat="1" applyFont="1" applyFill="1" applyBorder="1" applyAlignment="1">
      <alignment horizontal="left" vertical="center"/>
    </xf>
    <xf numFmtId="168" fontId="4" fillId="8" borderId="6" xfId="0" quotePrefix="1" applyNumberFormat="1" applyFont="1" applyFill="1" applyBorder="1" applyAlignment="1">
      <alignment horizontal="center" vertical="center"/>
    </xf>
    <xf numFmtId="0" fontId="88" fillId="16" borderId="0" xfId="0" applyFont="1" applyFill="1" applyAlignment="1" applyProtection="1">
      <alignment horizontal="center" vertical="center" textRotation="90"/>
      <protection hidden="1"/>
    </xf>
    <xf numFmtId="0" fontId="15" fillId="7" borderId="0" xfId="0" applyFont="1" applyFill="1" applyAlignment="1" applyProtection="1">
      <alignment horizontal="center" vertical="center"/>
      <protection hidden="1"/>
    </xf>
    <xf numFmtId="0" fontId="99" fillId="9" borderId="0" xfId="0" applyFont="1" applyFill="1" applyAlignment="1" applyProtection="1">
      <alignment horizontal="center" vertical="top" wrapText="1"/>
      <protection hidden="1"/>
    </xf>
    <xf numFmtId="0" fontId="99" fillId="9" borderId="0" xfId="0" applyFont="1" applyFill="1" applyAlignment="1" applyProtection="1">
      <alignment horizontal="center" vertical="top"/>
      <protection hidden="1"/>
    </xf>
    <xf numFmtId="0" fontId="22" fillId="6" borderId="0" xfId="3" applyFont="1" applyFill="1" applyBorder="1" applyAlignment="1" applyProtection="1">
      <alignment horizontal="center" vertical="center"/>
      <protection hidden="1"/>
    </xf>
    <xf numFmtId="0" fontId="71" fillId="0" borderId="8" xfId="3" applyFont="1" applyFill="1" applyBorder="1" applyAlignment="1" applyProtection="1">
      <alignment horizontal="center" vertical="center"/>
      <protection locked="0"/>
    </xf>
    <xf numFmtId="0" fontId="71" fillId="0" borderId="8" xfId="3" applyFont="1" applyFill="1" applyBorder="1" applyAlignment="1" applyProtection="1">
      <alignment horizontal="center" vertical="center"/>
      <protection hidden="1"/>
    </xf>
    <xf numFmtId="0" fontId="25" fillId="0" borderId="0" xfId="0" applyFont="1" applyAlignment="1">
      <alignment horizontal="center" vertical="center"/>
    </xf>
    <xf numFmtId="0" fontId="82" fillId="12" borderId="3" xfId="0" applyFont="1" applyFill="1" applyBorder="1" applyAlignment="1">
      <alignment horizontal="left" vertical="center"/>
    </xf>
    <xf numFmtId="0" fontId="25" fillId="0" borderId="44" xfId="0" applyFont="1" applyBorder="1" applyAlignment="1">
      <alignment horizontal="center" vertical="center"/>
    </xf>
    <xf numFmtId="0" fontId="32" fillId="0" borderId="31" xfId="0" applyFont="1" applyBorder="1" applyAlignment="1">
      <alignment horizontal="center" vertical="center"/>
    </xf>
    <xf numFmtId="0" fontId="32" fillId="0" borderId="36" xfId="0" applyFont="1" applyBorder="1" applyAlignment="1">
      <alignment horizontal="center" vertical="center"/>
    </xf>
    <xf numFmtId="0" fontId="32" fillId="0" borderId="54" xfId="0" applyFont="1" applyBorder="1" applyAlignment="1">
      <alignment horizontal="center" vertical="center"/>
    </xf>
    <xf numFmtId="0" fontId="32" fillId="0" borderId="55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62" fillId="0" borderId="41" xfId="0" applyFont="1" applyBorder="1" applyAlignment="1">
      <alignment horizontal="center" vertical="center"/>
    </xf>
    <xf numFmtId="0" fontId="25" fillId="0" borderId="31" xfId="0" applyFont="1" applyBorder="1" applyAlignment="1">
      <alignment horizontal="center" vertical="top"/>
    </xf>
    <xf numFmtId="0" fontId="25" fillId="0" borderId="32" xfId="0" applyFont="1" applyBorder="1" applyAlignment="1">
      <alignment horizontal="center" vertical="top"/>
    </xf>
    <xf numFmtId="0" fontId="25" fillId="0" borderId="0" xfId="0" applyFont="1" applyAlignment="1">
      <alignment horizontal="right"/>
    </xf>
    <xf numFmtId="0" fontId="25" fillId="0" borderId="0" xfId="0" applyFont="1" applyAlignment="1">
      <alignment horizontal="left"/>
    </xf>
    <xf numFmtId="0" fontId="25" fillId="0" borderId="4" xfId="0" applyFont="1" applyBorder="1" applyAlignment="1">
      <alignment horizontal="center" vertical="center"/>
    </xf>
    <xf numFmtId="0" fontId="81" fillId="0" borderId="50" xfId="0" applyFont="1" applyBorder="1" applyAlignment="1">
      <alignment horizontal="center" vertical="center"/>
    </xf>
    <xf numFmtId="0" fontId="81" fillId="0" borderId="48" xfId="0" applyFont="1" applyBorder="1" applyAlignment="1">
      <alignment horizontal="center" vertical="center"/>
    </xf>
    <xf numFmtId="0" fontId="25" fillId="0" borderId="34" xfId="0" applyFont="1" applyBorder="1" applyAlignment="1">
      <alignment horizontal="center" vertical="center"/>
    </xf>
    <xf numFmtId="0" fontId="25" fillId="0" borderId="35" xfId="0" applyFont="1" applyBorder="1" applyAlignment="1">
      <alignment horizontal="center" vertical="center"/>
    </xf>
    <xf numFmtId="0" fontId="25" fillId="0" borderId="38" xfId="0" applyFont="1" applyBorder="1" applyAlignment="1">
      <alignment horizontal="center" vertical="center"/>
    </xf>
    <xf numFmtId="0" fontId="32" fillId="0" borderId="32" xfId="0" applyFont="1" applyBorder="1" applyAlignment="1">
      <alignment horizontal="center" vertical="center"/>
    </xf>
    <xf numFmtId="0" fontId="32" fillId="0" borderId="3" xfId="0" applyFont="1" applyBorder="1" applyAlignment="1">
      <alignment horizontal="center" vertical="center"/>
    </xf>
    <xf numFmtId="0" fontId="32" fillId="0" borderId="31" xfId="0" applyFont="1" applyBorder="1" applyAlignment="1">
      <alignment horizontal="center" vertical="center" wrapText="1"/>
    </xf>
    <xf numFmtId="0" fontId="32" fillId="0" borderId="32" xfId="0" applyFont="1" applyBorder="1" applyAlignment="1">
      <alignment horizontal="center" vertical="center" wrapText="1"/>
    </xf>
    <xf numFmtId="0" fontId="32" fillId="0" borderId="36" xfId="0" applyFont="1" applyBorder="1" applyAlignment="1">
      <alignment horizontal="center" vertical="center" wrapText="1"/>
    </xf>
    <xf numFmtId="0" fontId="32" fillId="0" borderId="54" xfId="0" applyFont="1" applyBorder="1" applyAlignment="1">
      <alignment horizontal="center" vertical="center" wrapText="1"/>
    </xf>
    <xf numFmtId="0" fontId="32" fillId="0" borderId="3" xfId="0" applyFont="1" applyBorder="1" applyAlignment="1">
      <alignment horizontal="center" vertical="center" wrapText="1"/>
    </xf>
    <xf numFmtId="0" fontId="32" fillId="0" borderId="55" xfId="0" applyFont="1" applyBorder="1" applyAlignment="1">
      <alignment horizontal="center" vertical="center" wrapText="1"/>
    </xf>
    <xf numFmtId="0" fontId="25" fillId="0" borderId="17" xfId="0" applyFont="1" applyBorder="1" applyAlignment="1">
      <alignment horizontal="left"/>
    </xf>
    <xf numFmtId="0" fontId="25" fillId="0" borderId="18" xfId="0" applyFont="1" applyBorder="1" applyAlignment="1">
      <alignment horizontal="left"/>
    </xf>
    <xf numFmtId="0" fontId="25" fillId="0" borderId="20" xfId="0" applyFont="1" applyBorder="1" applyAlignment="1">
      <alignment horizontal="left"/>
    </xf>
    <xf numFmtId="0" fontId="25" fillId="0" borderId="0" xfId="0" applyFont="1" applyAlignment="1">
      <alignment horizontal="left" vertical="top"/>
    </xf>
    <xf numFmtId="0" fontId="25" fillId="0" borderId="20" xfId="0" applyFont="1" applyBorder="1" applyAlignment="1">
      <alignment horizontal="left" vertical="top"/>
    </xf>
    <xf numFmtId="0" fontId="25" fillId="0" borderId="22" xfId="0" applyFont="1" applyBorder="1" applyAlignment="1">
      <alignment horizontal="left" vertical="top"/>
    </xf>
    <xf numFmtId="0" fontId="25" fillId="0" borderId="23" xfId="0" applyFont="1" applyBorder="1" applyAlignment="1">
      <alignment horizontal="left" vertical="top"/>
    </xf>
    <xf numFmtId="0" fontId="27" fillId="0" borderId="16" xfId="0" applyFont="1" applyBorder="1" applyAlignment="1">
      <alignment horizontal="center" vertical="top"/>
    </xf>
    <xf numFmtId="0" fontId="27" fillId="0" borderId="17" xfId="0" applyFont="1" applyBorder="1" applyAlignment="1">
      <alignment horizontal="center" vertical="top"/>
    </xf>
    <xf numFmtId="0" fontId="27" fillId="0" borderId="18" xfId="0" applyFont="1" applyBorder="1" applyAlignment="1">
      <alignment horizontal="center" vertical="top"/>
    </xf>
    <xf numFmtId="0" fontId="27" fillId="0" borderId="19" xfId="0" applyFont="1" applyBorder="1" applyAlignment="1">
      <alignment horizontal="center" vertical="top"/>
    </xf>
    <xf numFmtId="0" fontId="27" fillId="0" borderId="0" xfId="0" applyFont="1" applyAlignment="1">
      <alignment horizontal="center" vertical="top"/>
    </xf>
    <xf numFmtId="0" fontId="27" fillId="0" borderId="20" xfId="0" applyFont="1" applyBorder="1" applyAlignment="1">
      <alignment horizontal="center" vertical="top"/>
    </xf>
    <xf numFmtId="0" fontId="26" fillId="0" borderId="19" xfId="0" applyFont="1" applyBorder="1" applyAlignment="1">
      <alignment horizontal="center" vertical="top"/>
    </xf>
    <xf numFmtId="0" fontId="26" fillId="0" borderId="0" xfId="0" applyFont="1" applyAlignment="1">
      <alignment horizontal="center" vertical="top"/>
    </xf>
    <xf numFmtId="0" fontId="26" fillId="0" borderId="20" xfId="0" applyFont="1" applyBorder="1" applyAlignment="1">
      <alignment horizontal="center" vertical="top"/>
    </xf>
    <xf numFmtId="0" fontId="26" fillId="0" borderId="21" xfId="0" applyFont="1" applyBorder="1" applyAlignment="1">
      <alignment horizontal="center" vertical="top"/>
    </xf>
    <xf numFmtId="0" fontId="26" fillId="0" borderId="22" xfId="0" applyFont="1" applyBorder="1" applyAlignment="1">
      <alignment horizontal="center" vertical="top"/>
    </xf>
    <xf numFmtId="0" fontId="26" fillId="0" borderId="23" xfId="0" applyFont="1" applyBorder="1" applyAlignment="1">
      <alignment horizontal="center" vertical="top"/>
    </xf>
    <xf numFmtId="0" fontId="72" fillId="0" borderId="19" xfId="0" applyFont="1" applyBorder="1" applyAlignment="1">
      <alignment horizontal="center" vertical="center"/>
    </xf>
    <xf numFmtId="0" fontId="72" fillId="0" borderId="0" xfId="0" applyFont="1" applyAlignment="1">
      <alignment horizontal="center" vertical="center"/>
    </xf>
    <xf numFmtId="0" fontId="72" fillId="0" borderId="20" xfId="0" applyFont="1" applyBorder="1" applyAlignment="1">
      <alignment horizontal="center" vertical="center"/>
    </xf>
    <xf numFmtId="0" fontId="81" fillId="0" borderId="49" xfId="0" applyFont="1" applyBorder="1" applyAlignment="1">
      <alignment horizontal="center"/>
    </xf>
    <xf numFmtId="0" fontId="81" fillId="0" borderId="45" xfId="0" applyFont="1" applyBorder="1" applyAlignment="1">
      <alignment horizontal="center"/>
    </xf>
    <xf numFmtId="0" fontId="81" fillId="0" borderId="46" xfId="0" applyFont="1" applyBorder="1" applyAlignment="1">
      <alignment horizontal="center"/>
    </xf>
    <xf numFmtId="0" fontId="81" fillId="0" borderId="42" xfId="0" applyFont="1" applyBorder="1" applyAlignment="1">
      <alignment horizontal="center" vertical="center"/>
    </xf>
    <xf numFmtId="0" fontId="81" fillId="0" borderId="30" xfId="0" applyFont="1" applyBorder="1" applyAlignment="1">
      <alignment horizontal="center" vertical="center"/>
    </xf>
    <xf numFmtId="0" fontId="81" fillId="0" borderId="43" xfId="0" applyFont="1" applyBorder="1" applyAlignment="1">
      <alignment horizontal="center" vertical="center"/>
    </xf>
    <xf numFmtId="0" fontId="81" fillId="0" borderId="49" xfId="0" applyFont="1" applyBorder="1" applyAlignment="1">
      <alignment horizontal="left"/>
    </xf>
    <xf numFmtId="0" fontId="81" fillId="0" borderId="45" xfId="0" applyFont="1" applyBorder="1" applyAlignment="1">
      <alignment horizontal="left"/>
    </xf>
    <xf numFmtId="0" fontId="81" fillId="0" borderId="46" xfId="0" applyFont="1" applyBorder="1" applyAlignment="1">
      <alignment horizontal="left"/>
    </xf>
    <xf numFmtId="0" fontId="32" fillId="12" borderId="3" xfId="0" applyFont="1" applyFill="1" applyBorder="1" applyAlignment="1">
      <alignment horizontal="left" vertical="center"/>
    </xf>
    <xf numFmtId="0" fontId="31" fillId="12" borderId="3" xfId="0" applyFont="1" applyFill="1" applyBorder="1" applyAlignment="1">
      <alignment horizontal="center" vertical="center"/>
    </xf>
    <xf numFmtId="0" fontId="81" fillId="0" borderId="3" xfId="13" applyNumberFormat="1" applyFont="1" applyBorder="1" applyAlignment="1">
      <alignment horizontal="left"/>
    </xf>
    <xf numFmtId="0" fontId="32" fillId="0" borderId="30" xfId="0" applyFont="1" applyBorder="1" applyAlignment="1">
      <alignment horizontal="left" vertical="top"/>
    </xf>
    <xf numFmtId="0" fontId="50" fillId="12" borderId="3" xfId="0" applyFont="1" applyFill="1" applyBorder="1" applyAlignment="1">
      <alignment horizontal="left" vertical="center"/>
    </xf>
    <xf numFmtId="0" fontId="25" fillId="0" borderId="36" xfId="0" applyFont="1" applyBorder="1" applyAlignment="1">
      <alignment horizontal="center" vertical="top"/>
    </xf>
    <xf numFmtId="0" fontId="28" fillId="9" borderId="24" xfId="0" applyFont="1" applyFill="1" applyBorder="1" applyAlignment="1">
      <alignment horizontal="left" vertical="center"/>
    </xf>
    <xf numFmtId="0" fontId="28" fillId="9" borderId="15" xfId="0" applyFont="1" applyFill="1" applyBorder="1" applyAlignment="1">
      <alignment horizontal="left" vertical="center"/>
    </xf>
    <xf numFmtId="0" fontId="28" fillId="9" borderId="25" xfId="0" applyFont="1" applyFill="1" applyBorder="1" applyAlignment="1">
      <alignment horizontal="left" vertical="center"/>
    </xf>
    <xf numFmtId="0" fontId="81" fillId="0" borderId="42" xfId="0" applyFont="1" applyBorder="1" applyAlignment="1">
      <alignment horizontal="left" vertical="center"/>
    </xf>
    <xf numFmtId="0" fontId="81" fillId="0" borderId="30" xfId="0" applyFont="1" applyBorder="1" applyAlignment="1">
      <alignment horizontal="left" vertical="center"/>
    </xf>
    <xf numFmtId="0" fontId="81" fillId="0" borderId="43" xfId="0" applyFont="1" applyBorder="1" applyAlignment="1">
      <alignment horizontal="left" vertical="center"/>
    </xf>
    <xf numFmtId="0" fontId="24" fillId="0" borderId="16" xfId="0" applyFont="1" applyBorder="1" applyAlignment="1">
      <alignment horizontal="center" vertical="center"/>
    </xf>
    <xf numFmtId="0" fontId="24" fillId="0" borderId="17" xfId="0" applyFont="1" applyBorder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5" fillId="0" borderId="16" xfId="0" applyFont="1" applyBorder="1" applyAlignment="1">
      <alignment horizontal="center" vertical="top"/>
    </xf>
    <xf numFmtId="0" fontId="25" fillId="0" borderId="17" xfId="0" applyFont="1" applyBorder="1" applyAlignment="1">
      <alignment horizontal="center" vertical="top"/>
    </xf>
    <xf numFmtId="0" fontId="25" fillId="0" borderId="18" xfId="0" applyFont="1" applyBorder="1" applyAlignment="1">
      <alignment horizontal="center" vertical="top"/>
    </xf>
    <xf numFmtId="0" fontId="70" fillId="0" borderId="21" xfId="0" applyFont="1" applyBorder="1" applyAlignment="1">
      <alignment horizontal="center" vertical="center"/>
    </xf>
    <xf numFmtId="0" fontId="70" fillId="0" borderId="22" xfId="0" applyFont="1" applyBorder="1" applyAlignment="1">
      <alignment horizontal="center" vertical="center"/>
    </xf>
    <xf numFmtId="0" fontId="70" fillId="0" borderId="23" xfId="0" applyFont="1" applyBorder="1" applyAlignment="1">
      <alignment horizontal="center" vertical="center"/>
    </xf>
    <xf numFmtId="0" fontId="51" fillId="0" borderId="39" xfId="0" applyFont="1" applyBorder="1" applyAlignment="1">
      <alignment horizontal="center" vertical="center"/>
    </xf>
    <xf numFmtId="0" fontId="51" fillId="0" borderId="15" xfId="0" applyFont="1" applyBorder="1" applyAlignment="1">
      <alignment horizontal="center" vertical="center"/>
    </xf>
    <xf numFmtId="0" fontId="51" fillId="0" borderId="40" xfId="0" applyFont="1" applyBorder="1" applyAlignment="1">
      <alignment horizontal="center" vertical="center"/>
    </xf>
    <xf numFmtId="169" fontId="84" fillId="12" borderId="0" xfId="0" applyNumberFormat="1" applyFont="1" applyFill="1" applyAlignment="1">
      <alignment horizontal="left" vertical="center"/>
    </xf>
    <xf numFmtId="168" fontId="84" fillId="12" borderId="0" xfId="0" applyNumberFormat="1" applyFont="1" applyFill="1" applyAlignment="1">
      <alignment horizontal="left" vertical="center"/>
    </xf>
    <xf numFmtId="0" fontId="84" fillId="12" borderId="0" xfId="0" applyFont="1" applyFill="1" applyAlignment="1">
      <alignment horizontal="left" vertical="center"/>
    </xf>
    <xf numFmtId="0" fontId="28" fillId="9" borderId="26" xfId="0" applyFont="1" applyFill="1" applyBorder="1" applyAlignment="1">
      <alignment horizontal="left" vertical="center"/>
    </xf>
    <xf numFmtId="0" fontId="28" fillId="9" borderId="27" xfId="0" applyFont="1" applyFill="1" applyBorder="1" applyAlignment="1">
      <alignment horizontal="left" vertical="center"/>
    </xf>
    <xf numFmtId="0" fontId="28" fillId="9" borderId="28" xfId="0" applyFont="1" applyFill="1" applyBorder="1" applyAlignment="1">
      <alignment horizontal="left" vertical="center"/>
    </xf>
    <xf numFmtId="0" fontId="84" fillId="12" borderId="0" xfId="0" applyFont="1" applyFill="1" applyAlignment="1">
      <alignment horizontal="left"/>
    </xf>
    <xf numFmtId="0" fontId="32" fillId="0" borderId="30" xfId="0" applyFont="1" applyBorder="1" applyAlignment="1">
      <alignment horizontal="left" vertical="center"/>
    </xf>
    <xf numFmtId="0" fontId="81" fillId="0" borderId="3" xfId="0" applyFont="1" applyBorder="1" applyAlignment="1">
      <alignment horizontal="left"/>
    </xf>
    <xf numFmtId="0" fontId="83" fillId="12" borderId="3" xfId="0" applyFont="1" applyFill="1" applyBorder="1" applyAlignment="1">
      <alignment horizontal="center"/>
    </xf>
    <xf numFmtId="0" fontId="31" fillId="0" borderId="0" xfId="0" applyFont="1" applyAlignment="1">
      <alignment horizontal="center"/>
    </xf>
    <xf numFmtId="0" fontId="25" fillId="0" borderId="39" xfId="0" applyFont="1" applyBorder="1" applyAlignment="1">
      <alignment horizontal="center" vertical="center"/>
    </xf>
    <xf numFmtId="0" fontId="25" fillId="0" borderId="15" xfId="0" applyFont="1" applyBorder="1" applyAlignment="1">
      <alignment horizontal="center" vertical="center"/>
    </xf>
    <xf numFmtId="0" fontId="25" fillId="0" borderId="40" xfId="0" applyFont="1" applyBorder="1" applyAlignment="1">
      <alignment horizontal="center" vertical="center"/>
    </xf>
    <xf numFmtId="20" fontId="81" fillId="12" borderId="29" xfId="0" applyNumberFormat="1" applyFont="1" applyFill="1" applyBorder="1" applyAlignment="1">
      <alignment horizontal="center" vertical="center"/>
    </xf>
    <xf numFmtId="0" fontId="81" fillId="12" borderId="29" xfId="0" applyFont="1" applyFill="1" applyBorder="1" applyAlignment="1">
      <alignment horizontal="center" vertical="center"/>
    </xf>
    <xf numFmtId="20" fontId="81" fillId="12" borderId="51" xfId="0" applyNumberFormat="1" applyFont="1" applyFill="1" applyBorder="1" applyAlignment="1">
      <alignment horizontal="center" vertical="center"/>
    </xf>
    <xf numFmtId="0" fontId="81" fillId="12" borderId="51" xfId="0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25" fillId="0" borderId="0" xfId="0" applyFont="1" applyAlignment="1">
      <alignment horizontal="left" vertical="center"/>
    </xf>
    <xf numFmtId="0" fontId="25" fillId="0" borderId="0" xfId="0" applyFont="1" applyAlignment="1">
      <alignment horizontal="right" vertical="center"/>
    </xf>
    <xf numFmtId="15" fontId="81" fillId="12" borderId="29" xfId="0" applyNumberFormat="1" applyFont="1" applyFill="1" applyBorder="1" applyAlignment="1">
      <alignment horizontal="center" vertical="center"/>
    </xf>
    <xf numFmtId="0" fontId="81" fillId="0" borderId="47" xfId="0" applyFont="1" applyBorder="1" applyAlignment="1">
      <alignment horizontal="center" vertical="center"/>
    </xf>
    <xf numFmtId="0" fontId="25" fillId="12" borderId="31" xfId="0" applyFont="1" applyFill="1" applyBorder="1" applyAlignment="1">
      <alignment horizontal="left" vertical="center" wrapText="1"/>
    </xf>
    <xf numFmtId="0" fontId="25" fillId="12" borderId="32" xfId="0" applyFont="1" applyFill="1" applyBorder="1" applyAlignment="1">
      <alignment horizontal="left" vertical="center" wrapText="1"/>
    </xf>
    <xf numFmtId="0" fontId="25" fillId="12" borderId="36" xfId="0" applyFont="1" applyFill="1" applyBorder="1" applyAlignment="1">
      <alignment horizontal="left" vertical="center" wrapText="1"/>
    </xf>
    <xf numFmtId="0" fontId="25" fillId="12" borderId="33" xfId="0" applyFont="1" applyFill="1" applyBorder="1" applyAlignment="1">
      <alignment horizontal="left" vertical="center" wrapText="1"/>
    </xf>
    <xf numFmtId="0" fontId="25" fillId="12" borderId="0" xfId="0" applyFont="1" applyFill="1" applyAlignment="1">
      <alignment horizontal="left" vertical="center" wrapText="1"/>
    </xf>
    <xf numFmtId="0" fontId="25" fillId="12" borderId="37" xfId="0" applyFont="1" applyFill="1" applyBorder="1" applyAlignment="1">
      <alignment horizontal="left" vertical="center" wrapText="1"/>
    </xf>
    <xf numFmtId="0" fontId="25" fillId="12" borderId="34" xfId="0" applyFont="1" applyFill="1" applyBorder="1" applyAlignment="1">
      <alignment horizontal="left" vertical="center" wrapText="1"/>
    </xf>
    <xf numFmtId="0" fontId="25" fillId="12" borderId="35" xfId="0" applyFont="1" applyFill="1" applyBorder="1" applyAlignment="1">
      <alignment horizontal="left" vertical="center" wrapText="1"/>
    </xf>
    <xf numFmtId="0" fontId="25" fillId="12" borderId="38" xfId="0" applyFont="1" applyFill="1" applyBorder="1" applyAlignment="1">
      <alignment horizontal="left" vertical="center" wrapText="1"/>
    </xf>
    <xf numFmtId="0" fontId="25" fillId="0" borderId="33" xfId="0" applyFont="1" applyBorder="1" applyAlignment="1">
      <alignment horizontal="right" vertical="center"/>
    </xf>
    <xf numFmtId="0" fontId="25" fillId="0" borderId="37" xfId="0" applyFont="1" applyBorder="1" applyAlignment="1">
      <alignment horizontal="left" vertical="center"/>
    </xf>
    <xf numFmtId="0" fontId="31" fillId="12" borderId="29" xfId="0" applyFont="1" applyFill="1" applyBorder="1" applyAlignment="1">
      <alignment horizontal="center" vertical="center"/>
    </xf>
    <xf numFmtId="15" fontId="31" fillId="12" borderId="29" xfId="0" applyNumberFormat="1" applyFont="1" applyFill="1" applyBorder="1" applyAlignment="1">
      <alignment horizontal="center" vertical="center"/>
    </xf>
    <xf numFmtId="10" fontId="81" fillId="12" borderId="3" xfId="8" applyNumberFormat="1" applyFont="1" applyFill="1" applyBorder="1" applyAlignment="1">
      <alignment horizontal="center" vertical="center"/>
    </xf>
    <xf numFmtId="0" fontId="25" fillId="0" borderId="31" xfId="0" applyFont="1" applyBorder="1" applyAlignment="1">
      <alignment horizontal="center" vertical="center"/>
    </xf>
    <xf numFmtId="0" fontId="25" fillId="0" borderId="32" xfId="0" applyFont="1" applyBorder="1" applyAlignment="1">
      <alignment horizontal="center" vertical="center"/>
    </xf>
    <xf numFmtId="0" fontId="25" fillId="0" borderId="36" xfId="0" applyFont="1" applyBorder="1" applyAlignment="1">
      <alignment horizontal="center" vertical="center"/>
    </xf>
    <xf numFmtId="0" fontId="62" fillId="0" borderId="53" xfId="0" applyFont="1" applyBorder="1" applyAlignment="1">
      <alignment horizontal="center" vertical="center"/>
    </xf>
    <xf numFmtId="0" fontId="62" fillId="0" borderId="42" xfId="0" applyFont="1" applyBorder="1" applyAlignment="1">
      <alignment horizontal="center" vertical="center"/>
    </xf>
    <xf numFmtId="0" fontId="62" fillId="0" borderId="30" xfId="0" applyFont="1" applyBorder="1" applyAlignment="1">
      <alignment horizontal="center" vertical="center"/>
    </xf>
    <xf numFmtId="0" fontId="62" fillId="0" borderId="43" xfId="0" applyFont="1" applyBorder="1" applyAlignment="1">
      <alignment horizontal="center" vertical="center"/>
    </xf>
    <xf numFmtId="0" fontId="81" fillId="12" borderId="3" xfId="0" applyFont="1" applyFill="1" applyBorder="1" applyAlignment="1">
      <alignment horizontal="left" vertical="center"/>
    </xf>
    <xf numFmtId="0" fontId="62" fillId="0" borderId="50" xfId="0" applyFont="1" applyBorder="1" applyAlignment="1">
      <alignment horizontal="center" vertical="center"/>
    </xf>
    <xf numFmtId="0" fontId="62" fillId="0" borderId="47" xfId="0" applyFont="1" applyBorder="1" applyAlignment="1">
      <alignment horizontal="center" vertical="center"/>
    </xf>
    <xf numFmtId="0" fontId="62" fillId="0" borderId="48" xfId="0" applyFont="1" applyBorder="1" applyAlignment="1">
      <alignment horizontal="center" vertical="center"/>
    </xf>
    <xf numFmtId="0" fontId="81" fillId="0" borderId="50" xfId="0" applyFont="1" applyBorder="1" applyAlignment="1">
      <alignment horizontal="left" vertical="center"/>
    </xf>
    <xf numFmtId="0" fontId="81" fillId="0" borderId="47" xfId="0" applyFont="1" applyBorder="1" applyAlignment="1">
      <alignment horizontal="left" vertical="center"/>
    </xf>
    <xf numFmtId="0" fontId="81" fillId="0" borderId="48" xfId="0" applyFont="1" applyBorder="1" applyAlignment="1">
      <alignment horizontal="left" vertical="center"/>
    </xf>
    <xf numFmtId="0" fontId="45" fillId="0" borderId="34" xfId="0" applyFont="1" applyBorder="1" applyAlignment="1">
      <alignment horizontal="center" vertical="center"/>
    </xf>
    <xf numFmtId="0" fontId="45" fillId="0" borderId="35" xfId="0" applyFont="1" applyBorder="1" applyAlignment="1">
      <alignment horizontal="center" vertical="center"/>
    </xf>
    <xf numFmtId="0" fontId="45" fillId="0" borderId="38" xfId="0" applyFont="1" applyBorder="1" applyAlignment="1">
      <alignment horizontal="center" vertical="center"/>
    </xf>
    <xf numFmtId="0" fontId="25" fillId="0" borderId="52" xfId="0" applyFont="1" applyBorder="1" applyAlignment="1">
      <alignment horizontal="center" vertical="top"/>
    </xf>
    <xf numFmtId="0" fontId="75" fillId="0" borderId="31" xfId="0" applyFont="1" applyBorder="1" applyAlignment="1">
      <alignment horizontal="center" vertical="center"/>
    </xf>
    <xf numFmtId="0" fontId="75" fillId="0" borderId="32" xfId="0" applyFont="1" applyBorder="1" applyAlignment="1">
      <alignment horizontal="center" vertical="center"/>
    </xf>
    <xf numFmtId="0" fontId="75" fillId="0" borderId="36" xfId="0" applyFont="1" applyBorder="1" applyAlignment="1">
      <alignment horizontal="center" vertical="center"/>
    </xf>
    <xf numFmtId="0" fontId="75" fillId="0" borderId="34" xfId="0" applyFont="1" applyBorder="1" applyAlignment="1">
      <alignment horizontal="center" vertical="center"/>
    </xf>
    <xf numFmtId="0" fontId="75" fillId="0" borderId="35" xfId="0" applyFont="1" applyBorder="1" applyAlignment="1">
      <alignment horizontal="center" vertical="center"/>
    </xf>
    <xf numFmtId="0" fontId="75" fillId="0" borderId="38" xfId="0" applyFont="1" applyBorder="1" applyAlignment="1">
      <alignment horizontal="center" vertical="center"/>
    </xf>
    <xf numFmtId="0" fontId="74" fillId="0" borderId="31" xfId="0" applyFont="1" applyBorder="1" applyAlignment="1">
      <alignment horizontal="center" vertical="top"/>
    </xf>
    <xf numFmtId="0" fontId="74" fillId="0" borderId="36" xfId="0" applyFont="1" applyBorder="1" applyAlignment="1">
      <alignment horizontal="center" vertical="top"/>
    </xf>
    <xf numFmtId="0" fontId="74" fillId="0" borderId="34" xfId="0" applyFont="1" applyBorder="1" applyAlignment="1">
      <alignment horizontal="center"/>
    </xf>
    <xf numFmtId="0" fontId="74" fillId="0" borderId="38" xfId="0" applyFont="1" applyBorder="1" applyAlignment="1">
      <alignment horizontal="center"/>
    </xf>
  </cellXfs>
  <cellStyles count="16">
    <cellStyle name="20% - Accent1" xfId="10" builtinId="30"/>
    <cellStyle name="20% - Accent5" xfId="12" builtinId="46"/>
    <cellStyle name="Accent1" xfId="9" builtinId="29"/>
    <cellStyle name="Accent3 2" xfId="5" xr:uid="{00000000-0005-0000-0000-000003000000}"/>
    <cellStyle name="Accent5" xfId="11" builtinId="45"/>
    <cellStyle name="Accent5 2" xfId="6" xr:uid="{00000000-0005-0000-0000-000005000000}"/>
    <cellStyle name="Comma" xfId="13" builtinId="3"/>
    <cellStyle name="Comma 2" xfId="1" xr:uid="{00000000-0005-0000-0000-000007000000}"/>
    <cellStyle name="Comma 2 2" xfId="7" xr:uid="{00000000-0005-0000-0000-000008000000}"/>
    <cellStyle name="Followed Hyperlink" xfId="15" builtinId="9" hidden="1"/>
    <cellStyle name="Hyperlink" xfId="14" builtinId="8" hidden="1"/>
    <cellStyle name="Normal" xfId="0" builtinId="0"/>
    <cellStyle name="Normal 2" xfId="2" xr:uid="{00000000-0005-0000-0000-00000C000000}"/>
    <cellStyle name="Note" xfId="3" builtinId="10"/>
    <cellStyle name="Percent" xfId="8" builtinId="5"/>
    <cellStyle name="ปกติ 3" xfId="4" xr:uid="{00000000-0005-0000-0000-00000F000000}"/>
  </cellStyles>
  <dxfs count="34"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1" tint="0.24994659260841701"/>
      </font>
      <fill>
        <patternFill>
          <bgColor theme="8" tint="0.59996337778862885"/>
        </patternFill>
      </fill>
    </dxf>
    <dxf>
      <font>
        <color theme="8" tint="0.79998168889431442"/>
      </font>
      <fill>
        <patternFill>
          <bgColor theme="8" tint="0.59996337778862885"/>
        </patternFill>
      </fill>
    </dxf>
    <dxf>
      <font>
        <color theme="1" tint="0.24994659260841701"/>
      </font>
      <fill>
        <patternFill>
          <bgColor theme="8" tint="0.59996337778862885"/>
        </patternFill>
      </fill>
    </dxf>
    <dxf>
      <font>
        <color theme="8" tint="0.79998168889431442"/>
      </font>
      <fill>
        <patternFill>
          <bgColor theme="8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FF3300"/>
        </patternFill>
      </fill>
    </dxf>
    <dxf>
      <font>
        <b/>
        <i val="0"/>
        <color theme="0"/>
      </font>
      <fill>
        <patternFill>
          <bgColor rgb="FFFF33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 tint="0.24994659260841701"/>
      </font>
      <fill>
        <patternFill>
          <bgColor theme="8" tint="0.59996337778862885"/>
        </patternFill>
      </fill>
    </dxf>
    <dxf>
      <font>
        <color theme="8" tint="0.79998168889431442"/>
      </font>
      <fill>
        <patternFill>
          <bgColor theme="8" tint="0.59996337778862885"/>
        </patternFill>
      </fill>
    </dxf>
    <dxf>
      <font>
        <color theme="0"/>
      </font>
      <fill>
        <patternFill>
          <bgColor theme="8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1" tint="0.24994659260841701"/>
      </font>
      <fill>
        <patternFill>
          <bgColor theme="8" tint="0.59996337778862885"/>
        </patternFill>
      </fill>
    </dxf>
    <dxf>
      <font>
        <color theme="8" tint="0.79998168889431442"/>
      </font>
      <fill>
        <patternFill>
          <bgColor theme="8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FF3300"/>
        </patternFill>
      </fill>
    </dxf>
    <dxf>
      <font>
        <color theme="0"/>
      </font>
      <fill>
        <patternFill>
          <bgColor theme="8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b/>
        <i val="0"/>
        <color theme="1"/>
      </font>
      <fill>
        <patternFill>
          <bgColor rgb="FFFFFF00"/>
        </patternFill>
      </fill>
    </dxf>
    <dxf>
      <font>
        <color theme="0" tint="-4.9989318521683403E-2"/>
      </font>
      <fill>
        <patternFill>
          <bgColor theme="0" tint="-4.9989318521683403E-2"/>
        </patternFill>
      </fill>
    </dxf>
    <dxf>
      <font>
        <color theme="0"/>
      </font>
    </dxf>
    <dxf>
      <font>
        <b/>
        <i val="0"/>
        <color theme="0"/>
      </font>
      <fill>
        <patternFill>
          <bgColor rgb="FFFF3300"/>
        </patternFill>
      </fill>
    </dxf>
  </dxfs>
  <tableStyles count="0" defaultTableStyle="TableStyleMedium2" defaultPivotStyle="PivotStyleMedium9"/>
  <colors>
    <mruColors>
      <color rgb="FFFC9204"/>
      <color rgb="FF0000FF"/>
      <color rgb="FFFFFFCC"/>
      <color rgb="FFFFFF99"/>
      <color rgb="FF66FFFF"/>
      <color rgb="FFFFCCCC"/>
      <color rgb="FFFF9999"/>
      <color rgb="FFFFCCFF"/>
      <color rgb="FFCCFFCC"/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Spin" dx="22" fmlaLink="$I$2" max="10000" min="1" page="10" val="17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723900</xdr:colOff>
          <xdr:row>1</xdr:row>
          <xdr:rowOff>0</xdr:rowOff>
        </xdr:from>
        <xdr:to>
          <xdr:col>7</xdr:col>
          <xdr:colOff>1047750</xdr:colOff>
          <xdr:row>4</xdr:row>
          <xdr:rowOff>0</xdr:rowOff>
        </xdr:to>
        <xdr:sp macro="" textlink="">
          <xdr:nvSpPr>
            <xdr:cNvPr id="2049" name="Spinner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11</xdr:col>
      <xdr:colOff>438196</xdr:colOff>
      <xdr:row>1</xdr:row>
      <xdr:rowOff>190500</xdr:rowOff>
    </xdr:from>
    <xdr:to>
      <xdr:col>12</xdr:col>
      <xdr:colOff>571550</xdr:colOff>
      <xdr:row>3</xdr:row>
      <xdr:rowOff>166688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7689102" y="309563"/>
          <a:ext cx="1157292" cy="381000"/>
          <a:chOff x="7617665" y="309563"/>
          <a:chExt cx="1157291" cy="381000"/>
        </a:xfrm>
      </xdr:grpSpPr>
      <xdr:sp macro="[0]!Goto_PrintPreview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7617665" y="309563"/>
            <a:ext cx="1157291" cy="38100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12700">
            <a:solidFill>
              <a:schemeClr val="bg1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th-TH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000-000002080000}"/>
                  </a:ext>
                </a:extLst>
              </xdr:cNvPr>
              <xdr:cNvSpPr/>
            </xdr:nvSpPr>
            <xdr:spPr bwMode="auto">
              <a:xfrm>
                <a:off x="7683968" y="355998"/>
                <a:ext cx="1024685" cy="28813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en-US"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PRINT PREVIEW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10</xdr:col>
      <xdr:colOff>31750</xdr:colOff>
      <xdr:row>1</xdr:row>
      <xdr:rowOff>4761</xdr:rowOff>
    </xdr:from>
    <xdr:to>
      <xdr:col>10</xdr:col>
      <xdr:colOff>935856</xdr:colOff>
      <xdr:row>4</xdr:row>
      <xdr:rowOff>0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6389688" y="123824"/>
          <a:ext cx="866006" cy="602457"/>
          <a:chOff x="6292483" y="123824"/>
          <a:chExt cx="858439" cy="602457"/>
        </a:xfrm>
      </xdr:grpSpPr>
      <xdr:pic macro="[0]!Print_JOB"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57939" y="130966"/>
            <a:ext cx="750121" cy="381003"/>
          </a:xfrm>
          <a:prstGeom prst="rect">
            <a:avLst/>
          </a:prstGeom>
        </xdr:spPr>
      </xdr:pic>
      <xdr:grpSp>
        <xdr:nvGrpSpPr>
          <xdr:cNvPr id="7" name="Group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GrpSpPr/>
        </xdr:nvGrpSpPr>
        <xdr:grpSpPr>
          <a:xfrm>
            <a:off x="6292483" y="123824"/>
            <a:ext cx="858439" cy="602457"/>
            <a:chOff x="8042673" y="119061"/>
            <a:chExt cx="1273969" cy="607220"/>
          </a:xfrm>
        </xdr:grpSpPr>
        <xdr:sp macro="[0]!Print_JOB" textlink="">
          <xdr:nvSpPr>
            <xdr:cNvPr id="6" name="Rectangle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/>
          </xdr:nvSpPr>
          <xdr:spPr>
            <a:xfrm>
              <a:off x="8042673" y="119061"/>
              <a:ext cx="1273969" cy="607219"/>
            </a:xfrm>
            <a:prstGeom prst="rect">
              <a:avLst/>
            </a:prstGeom>
            <a:noFill/>
            <a:ln w="12700"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[0]!Print_JOB" textlink="">
          <xdr:nvSpPr>
            <xdr:cNvPr id="10" name="Rectangle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/>
          </xdr:nvSpPr>
          <xdr:spPr>
            <a:xfrm>
              <a:off x="8042673" y="523875"/>
              <a:ext cx="1273969" cy="202406"/>
            </a:xfrm>
            <a:prstGeom prst="rect">
              <a:avLst/>
            </a:prstGeom>
            <a:solidFill>
              <a:schemeClr val="accent5">
                <a:lumMod val="20000"/>
                <a:lumOff val="80000"/>
              </a:schemeClr>
            </a:solidFill>
            <a:ln w="12700">
              <a:solidFill>
                <a:schemeClr val="bg1">
                  <a:lumMod val="5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US" sz="1000" b="1">
                  <a:solidFill>
                    <a:schemeClr val="accent5">
                      <a:lumMod val="50000"/>
                    </a:schemeClr>
                  </a:solidFill>
                </a:rPr>
                <a:t>PRINT</a:t>
              </a:r>
              <a:r>
                <a:rPr lang="en-US" sz="1000" b="1" baseline="0">
                  <a:solidFill>
                    <a:schemeClr val="accent5">
                      <a:lumMod val="50000"/>
                    </a:schemeClr>
                  </a:solidFill>
                </a:rPr>
                <a:t> JOB</a:t>
              </a:r>
              <a:endParaRPr lang="en-US" sz="1000" b="1">
                <a:solidFill>
                  <a:schemeClr val="accent5">
                    <a:lumMod val="50000"/>
                  </a:schemeClr>
                </a:solidFill>
              </a:endParaRPr>
            </a:p>
          </xdr:txBody>
        </xdr:sp>
      </xdr:grpSp>
    </xdr:grpSp>
    <xdr:clientData/>
  </xdr:twoCellAnchor>
  <xdr:twoCellAnchor>
    <xdr:from>
      <xdr:col>13</xdr:col>
      <xdr:colOff>35729</xdr:colOff>
      <xdr:row>0</xdr:row>
      <xdr:rowOff>83347</xdr:rowOff>
    </xdr:from>
    <xdr:to>
      <xdr:col>16</xdr:col>
      <xdr:colOff>130969</xdr:colOff>
      <xdr:row>5</xdr:row>
      <xdr:rowOff>47626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644073" y="83347"/>
          <a:ext cx="6179334" cy="750092"/>
          <a:chOff x="8983265" y="83346"/>
          <a:chExt cx="6119812" cy="756045"/>
        </a:xfrm>
      </xdr:grpSpPr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8983265" y="83346"/>
            <a:ext cx="6119812" cy="648889"/>
          </a:xfrm>
          <a:prstGeom prst="rect">
            <a:avLst/>
          </a:prstGeom>
          <a:solidFill>
            <a:schemeClr val="accent1">
              <a:lumMod val="20000"/>
              <a:lumOff val="80000"/>
            </a:schemeClr>
          </a:solidFill>
          <a:ln w="12700">
            <a:solidFill>
              <a:schemeClr val="accent1">
                <a:lumMod val="60000"/>
                <a:lumOff val="4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chemeClr val="accent1">
                  <a:lumMod val="75000"/>
                </a:schemeClr>
              </a:solidFill>
              <a:latin typeface="+mn-lt"/>
            </a:endParaRP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017793" y="88106"/>
            <a:ext cx="6050756" cy="751285"/>
          </a:xfrm>
          <a:prstGeom prst="rect">
            <a:avLst/>
          </a:prstGeom>
          <a:noFill/>
          <a:ln w="1270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100" u="sng">
                <a:solidFill>
                  <a:schemeClr val="accent1">
                    <a:lumMod val="75000"/>
                  </a:schemeClr>
                </a:solidFill>
                <a:latin typeface="+mn-lt"/>
              </a:rPr>
              <a:t>Note</a:t>
            </a:r>
            <a:r>
              <a:rPr lang="th-TH" sz="1100">
                <a:solidFill>
                  <a:schemeClr val="accent1">
                    <a:lumMod val="75000"/>
                  </a:schemeClr>
                </a:solidFill>
                <a:latin typeface="+mn-lt"/>
              </a:rPr>
              <a:t> </a:t>
            </a:r>
            <a:r>
              <a:rPr lang="en-US" sz="1100">
                <a:solidFill>
                  <a:schemeClr val="accent1">
                    <a:lumMod val="75000"/>
                  </a:schemeClr>
                </a:solidFill>
                <a:latin typeface="+mn-lt"/>
              </a:rPr>
              <a:t>: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ตารางนี้สำหรับบันทึก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และออกเอกสารแจ้งซ่อม/ สร้าง 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(Maintenance job order and report)</a:t>
            </a:r>
          </a:p>
          <a:p>
            <a:pPr algn="l"/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             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ของหน่วยงาน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หน่วยงานวิศวกรรม 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(Engineering dept.)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effectLst/>
                <a:latin typeface="+mn-lt"/>
                <a:ea typeface="+mn-ea"/>
                <a:cs typeface="+mn-cs"/>
              </a:rPr>
              <a:t> </a:t>
            </a:r>
            <a:endParaRPr lang="en-US" sz="1100" baseline="0">
              <a:solidFill>
                <a:schemeClr val="accent1">
                  <a:lumMod val="75000"/>
                </a:schemeClr>
              </a:solidFill>
              <a:latin typeface="+mn-lt"/>
            </a:endParaRPr>
          </a:p>
          <a:p>
            <a:pPr algn="l"/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             </a:t>
            </a:r>
            <a:r>
              <a:rPr lang="en-US" sz="1050" baseline="0">
                <a:solidFill>
                  <a:schemeClr val="accent1">
                    <a:lumMod val="75000"/>
                  </a:schemeClr>
                </a:solidFill>
                <a:latin typeface="Yu Gothic" panose="020B0400000000000000" pitchFamily="34" charset="-128"/>
                <a:ea typeface="Yu Gothic" panose="020B0400000000000000" pitchFamily="34" charset="-128"/>
              </a:rPr>
              <a:t>※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Yu Gothic" panose="020B0400000000000000" pitchFamily="34" charset="-128"/>
                <a:ea typeface="Yu Gothic" panose="020B0400000000000000" pitchFamily="34" charset="-128"/>
              </a:rPr>
              <a:t> 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ถ้าพบข้อผิดพลาดของข้อมูล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กรุณาแจ้งที่หน่วยงานวิศวกรรม 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(Engineering dept.)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โทร.</a:t>
            </a:r>
            <a:r>
              <a:rPr lang="en-US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 </a:t>
            </a:r>
            <a:r>
              <a:rPr lang="th-TH" sz="1100" baseline="0">
                <a:solidFill>
                  <a:schemeClr val="accent1">
                    <a:lumMod val="75000"/>
                  </a:schemeClr>
                </a:solidFill>
                <a:latin typeface="+mn-lt"/>
              </a:rPr>
              <a:t>106</a:t>
            </a:r>
            <a:endParaRPr lang="en-US" sz="1100">
              <a:solidFill>
                <a:schemeClr val="accent1">
                  <a:lumMod val="75000"/>
                </a:schemeClr>
              </a:solidFill>
              <a:latin typeface="+mn-lt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404809</xdr:colOff>
      <xdr:row>29</xdr:row>
      <xdr:rowOff>238115</xdr:rowOff>
    </xdr:from>
    <xdr:to>
      <xdr:col>48</xdr:col>
      <xdr:colOff>1044889</xdr:colOff>
      <xdr:row>33</xdr:row>
      <xdr:rowOff>68570</xdr:rowOff>
    </xdr:to>
    <xdr:pic macro="[0]!Goto_DataRecord">
      <xdr:nvPicPr>
        <xdr:cNvPr id="4" name="Graphic 3" descr="House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275340" y="595303"/>
          <a:ext cx="640080" cy="640080"/>
        </a:xfrm>
        <a:prstGeom prst="rect">
          <a:avLst/>
        </a:prstGeom>
      </xdr:spPr>
    </xdr:pic>
    <xdr:clientData/>
  </xdr:twoCellAnchor>
  <xdr:twoCellAnchor>
    <xdr:from>
      <xdr:col>3</xdr:col>
      <xdr:colOff>108857</xdr:colOff>
      <xdr:row>29</xdr:row>
      <xdr:rowOff>141514</xdr:rowOff>
    </xdr:from>
    <xdr:to>
      <xdr:col>12</xdr:col>
      <xdr:colOff>43542</xdr:colOff>
      <xdr:row>32</xdr:row>
      <xdr:rowOff>87086</xdr:rowOff>
    </xdr:to>
    <xdr:grpSp>
      <xdr:nvGrpSpPr>
        <xdr:cNvPr id="2" name="Group 2">
          <a:extLst>
            <a:ext uri="{FF2B5EF4-FFF2-40B4-BE49-F238E27FC236}">
              <a16:creationId xmlns:a16="http://schemas.microsoft.com/office/drawing/2014/main" id="{7543B7F7-7331-47C2-A9F2-12EAEB20DCEB}"/>
            </a:ext>
          </a:extLst>
        </xdr:cNvPr>
        <xdr:cNvGrpSpPr>
          <a:grpSpLocks/>
        </xdr:cNvGrpSpPr>
      </xdr:nvGrpSpPr>
      <xdr:grpSpPr bwMode="auto">
        <a:xfrm>
          <a:off x="394607" y="495300"/>
          <a:ext cx="2383971" cy="489857"/>
          <a:chOff x="0" y="0"/>
          <a:chExt cx="1620583" cy="269240"/>
        </a:xfrm>
      </xdr:grpSpPr>
      <xdr:sp macro="" textlink="">
        <xdr:nvSpPr>
          <xdr:cNvPr id="5" name="Graphic 2">
            <a:extLst>
              <a:ext uri="{FF2B5EF4-FFF2-40B4-BE49-F238E27FC236}">
                <a16:creationId xmlns:a16="http://schemas.microsoft.com/office/drawing/2014/main" id="{7B5AAFC6-D01C-346C-26BE-C8CA7E60F766}"/>
              </a:ext>
            </a:extLst>
          </xdr:cNvPr>
          <xdr:cNvSpPr>
            <a:spLocks/>
          </xdr:cNvSpPr>
        </xdr:nvSpPr>
        <xdr:spPr bwMode="auto">
          <a:xfrm>
            <a:off x="267474" y="0"/>
            <a:ext cx="273050" cy="269240"/>
          </a:xfrm>
          <a:custGeom>
            <a:avLst/>
            <a:gdLst>
              <a:gd name="T0" fmla="*/ 136283 w 273050"/>
              <a:gd name="T1" fmla="*/ 0 h 269240"/>
              <a:gd name="T2" fmla="*/ 90396 w 273050"/>
              <a:gd name="T3" fmla="*/ 6034 h 269240"/>
              <a:gd name="T4" fmla="*/ 52633 w 273050"/>
              <a:gd name="T5" fmla="*/ 23490 h 269240"/>
              <a:gd name="T6" fmla="*/ 24186 w 273050"/>
              <a:gd name="T7" fmla="*/ 51396 h 269240"/>
              <a:gd name="T8" fmla="*/ 6245 w 273050"/>
              <a:gd name="T9" fmla="*/ 88780 h 269240"/>
              <a:gd name="T10" fmla="*/ 0 w 273050"/>
              <a:gd name="T11" fmla="*/ 134670 h 269240"/>
              <a:gd name="T12" fmla="*/ 6245 w 273050"/>
              <a:gd name="T13" fmla="*/ 180528 h 269240"/>
              <a:gd name="T14" fmla="*/ 24186 w 273050"/>
              <a:gd name="T15" fmla="*/ 217833 h 269240"/>
              <a:gd name="T16" fmla="*/ 52633 w 273050"/>
              <a:gd name="T17" fmla="*/ 245645 h 269240"/>
              <a:gd name="T18" fmla="*/ 90396 w 273050"/>
              <a:gd name="T19" fmla="*/ 263022 h 269240"/>
              <a:gd name="T20" fmla="*/ 136283 w 273050"/>
              <a:gd name="T21" fmla="*/ 269024 h 269240"/>
              <a:gd name="T22" fmla="*/ 182200 w 273050"/>
              <a:gd name="T23" fmla="*/ 263022 h 269240"/>
              <a:gd name="T24" fmla="*/ 219978 w 273050"/>
              <a:gd name="T25" fmla="*/ 245645 h 269240"/>
              <a:gd name="T26" fmla="*/ 232492 w 273050"/>
              <a:gd name="T27" fmla="*/ 233413 h 269240"/>
              <a:gd name="T28" fmla="*/ 136283 w 273050"/>
              <a:gd name="T29" fmla="*/ 233413 h 269240"/>
              <a:gd name="T30" fmla="*/ 111881 w 273050"/>
              <a:gd name="T31" fmla="*/ 227407 h 269240"/>
              <a:gd name="T32" fmla="*/ 94799 w 273050"/>
              <a:gd name="T33" fmla="*/ 209169 h 269240"/>
              <a:gd name="T34" fmla="*/ 84755 w 273050"/>
              <a:gd name="T35" fmla="*/ 178367 h 269240"/>
              <a:gd name="T36" fmla="*/ 81470 w 273050"/>
              <a:gd name="T37" fmla="*/ 134670 h 269240"/>
              <a:gd name="T38" fmla="*/ 84755 w 273050"/>
              <a:gd name="T39" fmla="*/ 90940 h 269240"/>
              <a:gd name="T40" fmla="*/ 94799 w 273050"/>
              <a:gd name="T41" fmla="*/ 60013 h 269240"/>
              <a:gd name="T42" fmla="*/ 111881 w 273050"/>
              <a:gd name="T43" fmla="*/ 41641 h 269240"/>
              <a:gd name="T44" fmla="*/ 136283 w 273050"/>
              <a:gd name="T45" fmla="*/ 35572 h 269240"/>
              <a:gd name="T46" fmla="*/ 232297 w 273050"/>
              <a:gd name="T47" fmla="*/ 35572 h 269240"/>
              <a:gd name="T48" fmla="*/ 219978 w 273050"/>
              <a:gd name="T49" fmla="*/ 23490 h 269240"/>
              <a:gd name="T50" fmla="*/ 182200 w 273050"/>
              <a:gd name="T51" fmla="*/ 6034 h 269240"/>
              <a:gd name="T52" fmla="*/ 136283 w 273050"/>
              <a:gd name="T53" fmla="*/ 0 h 269240"/>
              <a:gd name="T54" fmla="*/ 232297 w 273050"/>
              <a:gd name="T55" fmla="*/ 35572 h 269240"/>
              <a:gd name="T56" fmla="*/ 136283 w 273050"/>
              <a:gd name="T57" fmla="*/ 35572 h 269240"/>
              <a:gd name="T58" fmla="*/ 160693 w 273050"/>
              <a:gd name="T59" fmla="*/ 41641 h 269240"/>
              <a:gd name="T60" fmla="*/ 177793 w 273050"/>
              <a:gd name="T61" fmla="*/ 60013 h 269240"/>
              <a:gd name="T62" fmla="*/ 187854 w 273050"/>
              <a:gd name="T63" fmla="*/ 90940 h 269240"/>
              <a:gd name="T64" fmla="*/ 191147 w 273050"/>
              <a:gd name="T65" fmla="*/ 134670 h 269240"/>
              <a:gd name="T66" fmla="*/ 187854 w 273050"/>
              <a:gd name="T67" fmla="*/ 178367 h 269240"/>
              <a:gd name="T68" fmla="*/ 177793 w 273050"/>
              <a:gd name="T69" fmla="*/ 209169 h 269240"/>
              <a:gd name="T70" fmla="*/ 160693 w 273050"/>
              <a:gd name="T71" fmla="*/ 227407 h 269240"/>
              <a:gd name="T72" fmla="*/ 136283 w 273050"/>
              <a:gd name="T73" fmla="*/ 233413 h 269240"/>
              <a:gd name="T74" fmla="*/ 232492 w 273050"/>
              <a:gd name="T75" fmla="*/ 233413 h 269240"/>
              <a:gd name="T76" fmla="*/ 248432 w 273050"/>
              <a:gd name="T77" fmla="*/ 217833 h 269240"/>
              <a:gd name="T78" fmla="*/ 266373 w 273050"/>
              <a:gd name="T79" fmla="*/ 180528 h 269240"/>
              <a:gd name="T80" fmla="*/ 272618 w 273050"/>
              <a:gd name="T81" fmla="*/ 134670 h 269240"/>
              <a:gd name="T82" fmla="*/ 266373 w 273050"/>
              <a:gd name="T83" fmla="*/ 88780 h 269240"/>
              <a:gd name="T84" fmla="*/ 248432 w 273050"/>
              <a:gd name="T85" fmla="*/ 51396 h 269240"/>
              <a:gd name="T86" fmla="*/ 232297 w 273050"/>
              <a:gd name="T87" fmla="*/ 35572 h 269240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</a:cxnLst>
            <a:rect l="0" t="0" r="r" b="b"/>
            <a:pathLst>
              <a:path w="273050" h="269240">
                <a:moveTo>
                  <a:pt x="136283" y="0"/>
                </a:moveTo>
                <a:lnTo>
                  <a:pt x="90396" y="6034"/>
                </a:lnTo>
                <a:lnTo>
                  <a:pt x="52633" y="23490"/>
                </a:lnTo>
                <a:lnTo>
                  <a:pt x="24186" y="51396"/>
                </a:lnTo>
                <a:lnTo>
                  <a:pt x="6245" y="88780"/>
                </a:lnTo>
                <a:lnTo>
                  <a:pt x="0" y="134670"/>
                </a:lnTo>
                <a:lnTo>
                  <a:pt x="6245" y="180528"/>
                </a:lnTo>
                <a:lnTo>
                  <a:pt x="24186" y="217833"/>
                </a:lnTo>
                <a:lnTo>
                  <a:pt x="52633" y="245645"/>
                </a:lnTo>
                <a:lnTo>
                  <a:pt x="90396" y="263022"/>
                </a:lnTo>
                <a:lnTo>
                  <a:pt x="136283" y="269024"/>
                </a:lnTo>
                <a:lnTo>
                  <a:pt x="182200" y="263022"/>
                </a:lnTo>
                <a:lnTo>
                  <a:pt x="219978" y="245645"/>
                </a:lnTo>
                <a:lnTo>
                  <a:pt x="232492" y="233413"/>
                </a:lnTo>
                <a:lnTo>
                  <a:pt x="136283" y="233413"/>
                </a:lnTo>
                <a:lnTo>
                  <a:pt x="111881" y="227407"/>
                </a:lnTo>
                <a:lnTo>
                  <a:pt x="94799" y="209169"/>
                </a:lnTo>
                <a:lnTo>
                  <a:pt x="84755" y="178367"/>
                </a:lnTo>
                <a:lnTo>
                  <a:pt x="81470" y="134670"/>
                </a:lnTo>
                <a:lnTo>
                  <a:pt x="84755" y="90940"/>
                </a:lnTo>
                <a:lnTo>
                  <a:pt x="94799" y="60013"/>
                </a:lnTo>
                <a:lnTo>
                  <a:pt x="111881" y="41641"/>
                </a:lnTo>
                <a:lnTo>
                  <a:pt x="136283" y="35572"/>
                </a:lnTo>
                <a:lnTo>
                  <a:pt x="232297" y="35572"/>
                </a:lnTo>
                <a:lnTo>
                  <a:pt x="219978" y="23490"/>
                </a:lnTo>
                <a:lnTo>
                  <a:pt x="182200" y="6034"/>
                </a:lnTo>
                <a:lnTo>
                  <a:pt x="136283" y="0"/>
                </a:lnTo>
                <a:close/>
              </a:path>
              <a:path w="273050" h="269240">
                <a:moveTo>
                  <a:pt x="232297" y="35572"/>
                </a:moveTo>
                <a:lnTo>
                  <a:pt x="136283" y="35572"/>
                </a:lnTo>
                <a:lnTo>
                  <a:pt x="160693" y="41641"/>
                </a:lnTo>
                <a:lnTo>
                  <a:pt x="177793" y="60013"/>
                </a:lnTo>
                <a:lnTo>
                  <a:pt x="187854" y="90940"/>
                </a:lnTo>
                <a:lnTo>
                  <a:pt x="191147" y="134670"/>
                </a:lnTo>
                <a:lnTo>
                  <a:pt x="187854" y="178367"/>
                </a:lnTo>
                <a:lnTo>
                  <a:pt x="177793" y="209169"/>
                </a:lnTo>
                <a:lnTo>
                  <a:pt x="160693" y="227407"/>
                </a:lnTo>
                <a:lnTo>
                  <a:pt x="136283" y="233413"/>
                </a:lnTo>
                <a:lnTo>
                  <a:pt x="232492" y="233413"/>
                </a:lnTo>
                <a:lnTo>
                  <a:pt x="248432" y="217833"/>
                </a:lnTo>
                <a:lnTo>
                  <a:pt x="266373" y="180528"/>
                </a:lnTo>
                <a:lnTo>
                  <a:pt x="272618" y="134670"/>
                </a:lnTo>
                <a:lnTo>
                  <a:pt x="266373" y="88780"/>
                </a:lnTo>
                <a:lnTo>
                  <a:pt x="248432" y="51396"/>
                </a:lnTo>
                <a:lnTo>
                  <a:pt x="232297" y="35572"/>
                </a:lnTo>
                <a:close/>
              </a:path>
            </a:pathLst>
          </a:custGeom>
          <a:solidFill>
            <a:srgbClr val="0063A6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  <xdr:pic>
        <xdr:nvPicPr>
          <xdr:cNvPr id="6" name="Image 3">
            <a:extLst>
              <a:ext uri="{FF2B5EF4-FFF2-40B4-BE49-F238E27FC236}">
                <a16:creationId xmlns:a16="http://schemas.microsoft.com/office/drawing/2014/main" id="{882C506D-1AD8-7C0A-487A-BE50C05F9EDB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10096"/>
            <a:ext cx="249173" cy="24883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7" name="Graphic 4">
            <a:extLst>
              <a:ext uri="{FF2B5EF4-FFF2-40B4-BE49-F238E27FC236}">
                <a16:creationId xmlns:a16="http://schemas.microsoft.com/office/drawing/2014/main" id="{56075C4E-B394-CDA7-1E48-77618F03E571}"/>
              </a:ext>
            </a:extLst>
          </xdr:cNvPr>
          <xdr:cNvSpPr>
            <a:spLocks/>
          </xdr:cNvSpPr>
        </xdr:nvSpPr>
        <xdr:spPr bwMode="auto">
          <a:xfrm>
            <a:off x="550608" y="10007"/>
            <a:ext cx="1069975" cy="249554"/>
          </a:xfrm>
          <a:custGeom>
            <a:avLst/>
            <a:gdLst>
              <a:gd name="T0" fmla="*/ 229603 w 1069975"/>
              <a:gd name="T1" fmla="*/ 16103 h 249554"/>
              <a:gd name="T2" fmla="*/ 184873 w 1069975"/>
              <a:gd name="T3" fmla="*/ 71069 h 249554"/>
              <a:gd name="T4" fmla="*/ 158877 w 1069975"/>
              <a:gd name="T5" fmla="*/ 106057 h 249554"/>
              <a:gd name="T6" fmla="*/ 108597 w 1069975"/>
              <a:gd name="T7" fmla="*/ 33134 h 249554"/>
              <a:gd name="T8" fmla="*/ 173774 w 1069975"/>
              <a:gd name="T9" fmla="*/ 43383 h 249554"/>
              <a:gd name="T10" fmla="*/ 184873 w 1069975"/>
              <a:gd name="T11" fmla="*/ 71069 h 249554"/>
              <a:gd name="T12" fmla="*/ 0 w 1069975"/>
              <a:gd name="T13" fmla="*/ 76 h 249554"/>
              <a:gd name="T14" fmla="*/ 37960 w 1069975"/>
              <a:gd name="T15" fmla="*/ 38773 h 249554"/>
              <a:gd name="T16" fmla="*/ 381 w 1069975"/>
              <a:gd name="T17" fmla="*/ 216103 h 249554"/>
              <a:gd name="T18" fmla="*/ 148437 w 1069975"/>
              <a:gd name="T19" fmla="*/ 216103 h 249554"/>
              <a:gd name="T20" fmla="*/ 108597 w 1069975"/>
              <a:gd name="T21" fmla="*/ 141744 h 249554"/>
              <a:gd name="T22" fmla="*/ 228663 w 1069975"/>
              <a:gd name="T23" fmla="*/ 125552 h 249554"/>
              <a:gd name="T24" fmla="*/ 255460 w 1069975"/>
              <a:gd name="T25" fmla="*/ 71069 h 249554"/>
              <a:gd name="T26" fmla="*/ 516280 w 1069975"/>
              <a:gd name="T27" fmla="*/ 38074 h 249554"/>
              <a:gd name="T28" fmla="*/ 452272 w 1069975"/>
              <a:gd name="T29" fmla="*/ 2692 h 249554"/>
              <a:gd name="T30" fmla="*/ 440143 w 1069975"/>
              <a:gd name="T31" fmla="*/ 98691 h 249554"/>
              <a:gd name="T32" fmla="*/ 375983 w 1069975"/>
              <a:gd name="T33" fmla="*/ 108737 h 249554"/>
              <a:gd name="T34" fmla="*/ 429107 w 1069975"/>
              <a:gd name="T35" fmla="*/ 35877 h 249554"/>
              <a:gd name="T36" fmla="*/ 452208 w 1069975"/>
              <a:gd name="T37" fmla="*/ 70827 h 249554"/>
              <a:gd name="T38" fmla="*/ 424865 w 1069975"/>
              <a:gd name="T39" fmla="*/ 152 h 249554"/>
              <a:gd name="T40" fmla="*/ 300088 w 1069975"/>
              <a:gd name="T41" fmla="*/ 33223 h 249554"/>
              <a:gd name="T42" fmla="*/ 300088 w 1069975"/>
              <a:gd name="T43" fmla="*/ 216192 h 249554"/>
              <a:gd name="T44" fmla="*/ 415836 w 1069975"/>
              <a:gd name="T45" fmla="*/ 249301 h 249554"/>
              <a:gd name="T46" fmla="*/ 375983 w 1069975"/>
              <a:gd name="T47" fmla="*/ 210553 h 249554"/>
              <a:gd name="T48" fmla="*/ 463003 w 1069975"/>
              <a:gd name="T49" fmla="*/ 137985 h 249554"/>
              <a:gd name="T50" fmla="*/ 516166 w 1069975"/>
              <a:gd name="T51" fmla="*/ 103632 h 249554"/>
              <a:gd name="T52" fmla="*/ 756069 w 1069975"/>
              <a:gd name="T53" fmla="*/ 215823 h 249554"/>
              <a:gd name="T54" fmla="*/ 738428 w 1069975"/>
              <a:gd name="T55" fmla="*/ 214718 h 249554"/>
              <a:gd name="T56" fmla="*/ 661822 w 1069975"/>
              <a:gd name="T57" fmla="*/ 0 h 249554"/>
              <a:gd name="T58" fmla="*/ 582637 w 1069975"/>
              <a:gd name="T59" fmla="*/ 136652 h 249554"/>
              <a:gd name="T60" fmla="*/ 633488 w 1069975"/>
              <a:gd name="T61" fmla="*/ 136652 h 249554"/>
              <a:gd name="T62" fmla="*/ 524090 w 1069975"/>
              <a:gd name="T63" fmla="*/ 187680 h 249554"/>
              <a:gd name="T64" fmla="*/ 506615 w 1069975"/>
              <a:gd name="T65" fmla="*/ 214718 h 249554"/>
              <a:gd name="T66" fmla="*/ 485419 w 1069975"/>
              <a:gd name="T67" fmla="*/ 215823 h 249554"/>
              <a:gd name="T68" fmla="*/ 595757 w 1069975"/>
              <a:gd name="T69" fmla="*/ 215823 h 249554"/>
              <a:gd name="T70" fmla="*/ 561632 w 1069975"/>
              <a:gd name="T71" fmla="*/ 203454 h 249554"/>
              <a:gd name="T72" fmla="*/ 571766 w 1069975"/>
              <a:gd name="T73" fmla="*/ 169684 h 249554"/>
              <a:gd name="T74" fmla="*/ 654151 w 1069975"/>
              <a:gd name="T75" fmla="*/ 202349 h 249554"/>
              <a:gd name="T76" fmla="*/ 645121 w 1069975"/>
              <a:gd name="T77" fmla="*/ 215823 h 249554"/>
              <a:gd name="T78" fmla="*/ 756069 w 1069975"/>
              <a:gd name="T79" fmla="*/ 248894 h 249554"/>
              <a:gd name="T80" fmla="*/ 953731 w 1069975"/>
              <a:gd name="T81" fmla="*/ 12 h 249554"/>
              <a:gd name="T82" fmla="*/ 991311 w 1069975"/>
              <a:gd name="T83" fmla="*/ 38696 h 249554"/>
              <a:gd name="T84" fmla="*/ 893318 w 1069975"/>
              <a:gd name="T85" fmla="*/ 12 h 249554"/>
              <a:gd name="T86" fmla="*/ 805014 w 1069975"/>
              <a:gd name="T87" fmla="*/ 33058 h 249554"/>
              <a:gd name="T88" fmla="*/ 805014 w 1069975"/>
              <a:gd name="T89" fmla="*/ 215963 h 249554"/>
              <a:gd name="T90" fmla="*/ 888809 w 1069975"/>
              <a:gd name="T91" fmla="*/ 249072 h 249554"/>
              <a:gd name="T92" fmla="*/ 851255 w 1069975"/>
              <a:gd name="T93" fmla="*/ 210337 h 249554"/>
              <a:gd name="T94" fmla="*/ 956398 w 1069975"/>
              <a:gd name="T95" fmla="*/ 249072 h 249554"/>
              <a:gd name="T96" fmla="*/ 1037488 w 1069975"/>
              <a:gd name="T97" fmla="*/ 33058 h 249554"/>
            </a:gdLst>
            <a:ahLst/>
            <a:cxnLst>
              <a:cxn ang="0">
                <a:pos x="T0" y="T1"/>
              </a:cxn>
              <a:cxn ang="0">
                <a:pos x="T2" y="T3"/>
              </a:cxn>
              <a:cxn ang="0">
                <a:pos x="T4" y="T5"/>
              </a:cxn>
              <a:cxn ang="0">
                <a:pos x="T6" y="T7"/>
              </a:cxn>
              <a:cxn ang="0">
                <a:pos x="T8" y="T9"/>
              </a:cxn>
              <a:cxn ang="0">
                <a:pos x="T10" y="T11"/>
              </a:cxn>
              <a:cxn ang="0">
                <a:pos x="T12" y="T13"/>
              </a:cxn>
              <a:cxn ang="0">
                <a:pos x="T14" y="T15"/>
              </a:cxn>
              <a:cxn ang="0">
                <a:pos x="T16" y="T17"/>
              </a:cxn>
              <a:cxn ang="0">
                <a:pos x="T18" y="T19"/>
              </a:cxn>
              <a:cxn ang="0">
                <a:pos x="T20" y="T21"/>
              </a:cxn>
              <a:cxn ang="0">
                <a:pos x="T22" y="T23"/>
              </a:cxn>
              <a:cxn ang="0">
                <a:pos x="T24" y="T25"/>
              </a:cxn>
              <a:cxn ang="0">
                <a:pos x="T26" y="T27"/>
              </a:cxn>
              <a:cxn ang="0">
                <a:pos x="T28" y="T29"/>
              </a:cxn>
              <a:cxn ang="0">
                <a:pos x="T30" y="T31"/>
              </a:cxn>
              <a:cxn ang="0">
                <a:pos x="T32" y="T33"/>
              </a:cxn>
              <a:cxn ang="0">
                <a:pos x="T34" y="T35"/>
              </a:cxn>
              <a:cxn ang="0">
                <a:pos x="T36" y="T37"/>
              </a:cxn>
              <a:cxn ang="0">
                <a:pos x="T38" y="T39"/>
              </a:cxn>
              <a:cxn ang="0">
                <a:pos x="T40" y="T41"/>
              </a:cxn>
              <a:cxn ang="0">
                <a:pos x="T42" y="T43"/>
              </a:cxn>
              <a:cxn ang="0">
                <a:pos x="T44" y="T45"/>
              </a:cxn>
              <a:cxn ang="0">
                <a:pos x="T46" y="T47"/>
              </a:cxn>
              <a:cxn ang="0">
                <a:pos x="T48" y="T49"/>
              </a:cxn>
              <a:cxn ang="0">
                <a:pos x="T50" y="T51"/>
              </a:cxn>
              <a:cxn ang="0">
                <a:pos x="T52" y="T53"/>
              </a:cxn>
              <a:cxn ang="0">
                <a:pos x="T54" y="T55"/>
              </a:cxn>
              <a:cxn ang="0">
                <a:pos x="T56" y="T57"/>
              </a:cxn>
              <a:cxn ang="0">
                <a:pos x="T58" y="T59"/>
              </a:cxn>
              <a:cxn ang="0">
                <a:pos x="T60" y="T61"/>
              </a:cxn>
              <a:cxn ang="0">
                <a:pos x="T62" y="T63"/>
              </a:cxn>
              <a:cxn ang="0">
                <a:pos x="T64" y="T65"/>
              </a:cxn>
              <a:cxn ang="0">
                <a:pos x="T66" y="T67"/>
              </a:cxn>
              <a:cxn ang="0">
                <a:pos x="T68" y="T69"/>
              </a:cxn>
              <a:cxn ang="0">
                <a:pos x="T70" y="T71"/>
              </a:cxn>
              <a:cxn ang="0">
                <a:pos x="T72" y="T73"/>
              </a:cxn>
              <a:cxn ang="0">
                <a:pos x="T74" y="T75"/>
              </a:cxn>
              <a:cxn ang="0">
                <a:pos x="T76" y="T77"/>
              </a:cxn>
              <a:cxn ang="0">
                <a:pos x="T78" y="T79"/>
              </a:cxn>
              <a:cxn ang="0">
                <a:pos x="T80" y="T81"/>
              </a:cxn>
              <a:cxn ang="0">
                <a:pos x="T82" y="T83"/>
              </a:cxn>
              <a:cxn ang="0">
                <a:pos x="T84" y="T85"/>
              </a:cxn>
              <a:cxn ang="0">
                <a:pos x="T86" y="T87"/>
              </a:cxn>
              <a:cxn ang="0">
                <a:pos x="T88" y="T89"/>
              </a:cxn>
              <a:cxn ang="0">
                <a:pos x="T90" y="T91"/>
              </a:cxn>
              <a:cxn ang="0">
                <a:pos x="T92" y="T93"/>
              </a:cxn>
              <a:cxn ang="0">
                <a:pos x="T94" y="T95"/>
              </a:cxn>
              <a:cxn ang="0">
                <a:pos x="T96" y="T97"/>
              </a:cxn>
            </a:cxnLst>
            <a:rect l="0" t="0" r="r" b="b"/>
            <a:pathLst>
              <a:path w="1069975" h="249554">
                <a:moveTo>
                  <a:pt x="255536" y="70751"/>
                </a:moveTo>
                <a:lnTo>
                  <a:pt x="248869" y="37985"/>
                </a:lnTo>
                <a:lnTo>
                  <a:pt x="229603" y="16103"/>
                </a:lnTo>
                <a:lnTo>
                  <a:pt x="198793" y="3886"/>
                </a:lnTo>
                <a:lnTo>
                  <a:pt x="184873" y="2603"/>
                </a:lnTo>
                <a:lnTo>
                  <a:pt x="184873" y="71069"/>
                </a:lnTo>
                <a:lnTo>
                  <a:pt x="181698" y="86791"/>
                </a:lnTo>
                <a:lnTo>
                  <a:pt x="172758" y="98615"/>
                </a:lnTo>
                <a:lnTo>
                  <a:pt x="158877" y="106057"/>
                </a:lnTo>
                <a:lnTo>
                  <a:pt x="140893" y="108648"/>
                </a:lnTo>
                <a:lnTo>
                  <a:pt x="108597" y="108648"/>
                </a:lnTo>
                <a:lnTo>
                  <a:pt x="108597" y="33134"/>
                </a:lnTo>
                <a:lnTo>
                  <a:pt x="146900" y="33134"/>
                </a:lnTo>
                <a:lnTo>
                  <a:pt x="161709" y="35788"/>
                </a:lnTo>
                <a:lnTo>
                  <a:pt x="173774" y="43383"/>
                </a:lnTo>
                <a:lnTo>
                  <a:pt x="181889" y="55321"/>
                </a:lnTo>
                <a:lnTo>
                  <a:pt x="184810" y="70751"/>
                </a:lnTo>
                <a:lnTo>
                  <a:pt x="184873" y="71069"/>
                </a:lnTo>
                <a:lnTo>
                  <a:pt x="184873" y="2603"/>
                </a:lnTo>
                <a:lnTo>
                  <a:pt x="157492" y="76"/>
                </a:lnTo>
                <a:lnTo>
                  <a:pt x="0" y="76"/>
                </a:lnTo>
                <a:lnTo>
                  <a:pt x="0" y="33134"/>
                </a:lnTo>
                <a:lnTo>
                  <a:pt x="32689" y="33134"/>
                </a:lnTo>
                <a:lnTo>
                  <a:pt x="37960" y="38773"/>
                </a:lnTo>
                <a:lnTo>
                  <a:pt x="37960" y="210477"/>
                </a:lnTo>
                <a:lnTo>
                  <a:pt x="32689" y="216103"/>
                </a:lnTo>
                <a:lnTo>
                  <a:pt x="381" y="216103"/>
                </a:lnTo>
                <a:lnTo>
                  <a:pt x="381" y="249212"/>
                </a:lnTo>
                <a:lnTo>
                  <a:pt x="148437" y="249212"/>
                </a:lnTo>
                <a:lnTo>
                  <a:pt x="148437" y="216103"/>
                </a:lnTo>
                <a:lnTo>
                  <a:pt x="113893" y="216103"/>
                </a:lnTo>
                <a:lnTo>
                  <a:pt x="108597" y="210477"/>
                </a:lnTo>
                <a:lnTo>
                  <a:pt x="108597" y="141744"/>
                </a:lnTo>
                <a:lnTo>
                  <a:pt x="149936" y="141744"/>
                </a:lnTo>
                <a:lnTo>
                  <a:pt x="195605" y="137896"/>
                </a:lnTo>
                <a:lnTo>
                  <a:pt x="228663" y="125552"/>
                </a:lnTo>
                <a:lnTo>
                  <a:pt x="244094" y="108648"/>
                </a:lnTo>
                <a:lnTo>
                  <a:pt x="248754" y="103555"/>
                </a:lnTo>
                <a:lnTo>
                  <a:pt x="255460" y="71069"/>
                </a:lnTo>
                <a:lnTo>
                  <a:pt x="255536" y="70751"/>
                </a:lnTo>
                <a:close/>
              </a:path>
              <a:path w="1069975" h="249554">
                <a:moveTo>
                  <a:pt x="522947" y="70827"/>
                </a:moveTo>
                <a:lnTo>
                  <a:pt x="516280" y="38074"/>
                </a:lnTo>
                <a:lnTo>
                  <a:pt x="497001" y="16192"/>
                </a:lnTo>
                <a:lnTo>
                  <a:pt x="466178" y="3962"/>
                </a:lnTo>
                <a:lnTo>
                  <a:pt x="452272" y="2692"/>
                </a:lnTo>
                <a:lnTo>
                  <a:pt x="452272" y="71145"/>
                </a:lnTo>
                <a:lnTo>
                  <a:pt x="449097" y="86868"/>
                </a:lnTo>
                <a:lnTo>
                  <a:pt x="440143" y="98691"/>
                </a:lnTo>
                <a:lnTo>
                  <a:pt x="426262" y="106146"/>
                </a:lnTo>
                <a:lnTo>
                  <a:pt x="408305" y="108737"/>
                </a:lnTo>
                <a:lnTo>
                  <a:pt x="375983" y="108737"/>
                </a:lnTo>
                <a:lnTo>
                  <a:pt x="375983" y="33223"/>
                </a:lnTo>
                <a:lnTo>
                  <a:pt x="414299" y="33223"/>
                </a:lnTo>
                <a:lnTo>
                  <a:pt x="429107" y="35877"/>
                </a:lnTo>
                <a:lnTo>
                  <a:pt x="441172" y="43459"/>
                </a:lnTo>
                <a:lnTo>
                  <a:pt x="449287" y="55410"/>
                </a:lnTo>
                <a:lnTo>
                  <a:pt x="452208" y="70827"/>
                </a:lnTo>
                <a:lnTo>
                  <a:pt x="452272" y="71145"/>
                </a:lnTo>
                <a:lnTo>
                  <a:pt x="452272" y="2692"/>
                </a:lnTo>
                <a:lnTo>
                  <a:pt x="424865" y="152"/>
                </a:lnTo>
                <a:lnTo>
                  <a:pt x="267398" y="152"/>
                </a:lnTo>
                <a:lnTo>
                  <a:pt x="267398" y="33223"/>
                </a:lnTo>
                <a:lnTo>
                  <a:pt x="300088" y="33223"/>
                </a:lnTo>
                <a:lnTo>
                  <a:pt x="305346" y="38849"/>
                </a:lnTo>
                <a:lnTo>
                  <a:pt x="305346" y="210553"/>
                </a:lnTo>
                <a:lnTo>
                  <a:pt x="300088" y="216192"/>
                </a:lnTo>
                <a:lnTo>
                  <a:pt x="267766" y="216192"/>
                </a:lnTo>
                <a:lnTo>
                  <a:pt x="267766" y="249301"/>
                </a:lnTo>
                <a:lnTo>
                  <a:pt x="415836" y="249301"/>
                </a:lnTo>
                <a:lnTo>
                  <a:pt x="415836" y="216192"/>
                </a:lnTo>
                <a:lnTo>
                  <a:pt x="381292" y="216192"/>
                </a:lnTo>
                <a:lnTo>
                  <a:pt x="375983" y="210553"/>
                </a:lnTo>
                <a:lnTo>
                  <a:pt x="375983" y="141833"/>
                </a:lnTo>
                <a:lnTo>
                  <a:pt x="417334" y="141833"/>
                </a:lnTo>
                <a:lnTo>
                  <a:pt x="463003" y="137985"/>
                </a:lnTo>
                <a:lnTo>
                  <a:pt x="496062" y="125628"/>
                </a:lnTo>
                <a:lnTo>
                  <a:pt x="511492" y="108737"/>
                </a:lnTo>
                <a:lnTo>
                  <a:pt x="516166" y="103632"/>
                </a:lnTo>
                <a:lnTo>
                  <a:pt x="522871" y="71145"/>
                </a:lnTo>
                <a:lnTo>
                  <a:pt x="522947" y="70827"/>
                </a:lnTo>
                <a:close/>
              </a:path>
              <a:path w="1069975" h="249554">
                <a:moveTo>
                  <a:pt x="756069" y="215823"/>
                </a:moveTo>
                <a:lnTo>
                  <a:pt x="746848" y="215823"/>
                </a:lnTo>
                <a:lnTo>
                  <a:pt x="738847" y="214718"/>
                </a:lnTo>
                <a:lnTo>
                  <a:pt x="738428" y="214718"/>
                </a:lnTo>
                <a:lnTo>
                  <a:pt x="715302" y="169684"/>
                </a:lnTo>
                <a:lnTo>
                  <a:pt x="679450" y="55956"/>
                </a:lnTo>
                <a:lnTo>
                  <a:pt x="661822" y="0"/>
                </a:lnTo>
                <a:lnTo>
                  <a:pt x="633488" y="0"/>
                </a:lnTo>
                <a:lnTo>
                  <a:pt x="633488" y="136652"/>
                </a:lnTo>
                <a:lnTo>
                  <a:pt x="582637" y="136652"/>
                </a:lnTo>
                <a:lnTo>
                  <a:pt x="609295" y="55956"/>
                </a:lnTo>
                <a:lnTo>
                  <a:pt x="610057" y="55956"/>
                </a:lnTo>
                <a:lnTo>
                  <a:pt x="633488" y="136652"/>
                </a:lnTo>
                <a:lnTo>
                  <a:pt x="633488" y="0"/>
                </a:lnTo>
                <a:lnTo>
                  <a:pt x="586803" y="0"/>
                </a:lnTo>
                <a:lnTo>
                  <a:pt x="524090" y="187680"/>
                </a:lnTo>
                <a:lnTo>
                  <a:pt x="518731" y="201739"/>
                </a:lnTo>
                <a:lnTo>
                  <a:pt x="513270" y="210337"/>
                </a:lnTo>
                <a:lnTo>
                  <a:pt x="506615" y="214718"/>
                </a:lnTo>
                <a:lnTo>
                  <a:pt x="506196" y="214718"/>
                </a:lnTo>
                <a:lnTo>
                  <a:pt x="498182" y="215823"/>
                </a:lnTo>
                <a:lnTo>
                  <a:pt x="485419" y="215823"/>
                </a:lnTo>
                <a:lnTo>
                  <a:pt x="485419" y="248894"/>
                </a:lnTo>
                <a:lnTo>
                  <a:pt x="595757" y="248894"/>
                </a:lnTo>
                <a:lnTo>
                  <a:pt x="595757" y="215823"/>
                </a:lnTo>
                <a:lnTo>
                  <a:pt x="574738" y="215823"/>
                </a:lnTo>
                <a:lnTo>
                  <a:pt x="561632" y="214718"/>
                </a:lnTo>
                <a:lnTo>
                  <a:pt x="561632" y="203454"/>
                </a:lnTo>
                <a:lnTo>
                  <a:pt x="563105" y="197840"/>
                </a:lnTo>
                <a:lnTo>
                  <a:pt x="567270" y="184708"/>
                </a:lnTo>
                <a:lnTo>
                  <a:pt x="571766" y="169684"/>
                </a:lnTo>
                <a:lnTo>
                  <a:pt x="644740" y="169684"/>
                </a:lnTo>
                <a:lnTo>
                  <a:pt x="652665" y="196710"/>
                </a:lnTo>
                <a:lnTo>
                  <a:pt x="654151" y="202349"/>
                </a:lnTo>
                <a:lnTo>
                  <a:pt x="654519" y="206476"/>
                </a:lnTo>
                <a:lnTo>
                  <a:pt x="654519" y="214337"/>
                </a:lnTo>
                <a:lnTo>
                  <a:pt x="645121" y="215823"/>
                </a:lnTo>
                <a:lnTo>
                  <a:pt x="622604" y="215823"/>
                </a:lnTo>
                <a:lnTo>
                  <a:pt x="622604" y="248894"/>
                </a:lnTo>
                <a:lnTo>
                  <a:pt x="756069" y="248894"/>
                </a:lnTo>
                <a:lnTo>
                  <a:pt x="756069" y="215823"/>
                </a:lnTo>
                <a:close/>
              </a:path>
              <a:path w="1069975" h="249554">
                <a:moveTo>
                  <a:pt x="1069390" y="12"/>
                </a:moveTo>
                <a:lnTo>
                  <a:pt x="953731" y="12"/>
                </a:lnTo>
                <a:lnTo>
                  <a:pt x="953731" y="33058"/>
                </a:lnTo>
                <a:lnTo>
                  <a:pt x="986028" y="33058"/>
                </a:lnTo>
                <a:lnTo>
                  <a:pt x="991311" y="38696"/>
                </a:lnTo>
                <a:lnTo>
                  <a:pt x="991311" y="171665"/>
                </a:lnTo>
                <a:lnTo>
                  <a:pt x="990561" y="171665"/>
                </a:lnTo>
                <a:lnTo>
                  <a:pt x="893318" y="12"/>
                </a:lnTo>
                <a:lnTo>
                  <a:pt x="772350" y="12"/>
                </a:lnTo>
                <a:lnTo>
                  <a:pt x="772350" y="33058"/>
                </a:lnTo>
                <a:lnTo>
                  <a:pt x="805014" y="33058"/>
                </a:lnTo>
                <a:lnTo>
                  <a:pt x="810285" y="38696"/>
                </a:lnTo>
                <a:lnTo>
                  <a:pt x="810285" y="210337"/>
                </a:lnTo>
                <a:lnTo>
                  <a:pt x="805014" y="215963"/>
                </a:lnTo>
                <a:lnTo>
                  <a:pt x="772718" y="215963"/>
                </a:lnTo>
                <a:lnTo>
                  <a:pt x="772718" y="249072"/>
                </a:lnTo>
                <a:lnTo>
                  <a:pt x="888809" y="249072"/>
                </a:lnTo>
                <a:lnTo>
                  <a:pt x="888809" y="215963"/>
                </a:lnTo>
                <a:lnTo>
                  <a:pt x="856513" y="215963"/>
                </a:lnTo>
                <a:lnTo>
                  <a:pt x="851255" y="210337"/>
                </a:lnTo>
                <a:lnTo>
                  <a:pt x="851255" y="63868"/>
                </a:lnTo>
                <a:lnTo>
                  <a:pt x="851992" y="63868"/>
                </a:lnTo>
                <a:lnTo>
                  <a:pt x="956398" y="249072"/>
                </a:lnTo>
                <a:lnTo>
                  <a:pt x="1032256" y="249072"/>
                </a:lnTo>
                <a:lnTo>
                  <a:pt x="1032256" y="38696"/>
                </a:lnTo>
                <a:lnTo>
                  <a:pt x="1037488" y="33058"/>
                </a:lnTo>
                <a:lnTo>
                  <a:pt x="1069390" y="33058"/>
                </a:lnTo>
                <a:lnTo>
                  <a:pt x="1069390" y="12"/>
                </a:lnTo>
                <a:close/>
              </a:path>
            </a:pathLst>
          </a:custGeom>
          <a:solidFill>
            <a:srgbClr val="0063A6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round/>
                <a:headEnd/>
                <a:tailEnd/>
              </a14:hiddenLine>
            </a:ext>
          </a:extLst>
        </xdr:spPr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609121</xdr:colOff>
      <xdr:row>8</xdr:row>
      <xdr:rowOff>11904</xdr:rowOff>
    </xdr:from>
    <xdr:to>
      <xdr:col>4</xdr:col>
      <xdr:colOff>883441</xdr:colOff>
      <xdr:row>8</xdr:row>
      <xdr:rowOff>286224</xdr:rowOff>
    </xdr:to>
    <xdr:sp macro="" textlink="">
      <xdr:nvSpPr>
        <xdr:cNvPr id="2" name="Flowchart: Connector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838096" y="1659729"/>
          <a:ext cx="274320" cy="274320"/>
        </a:xfrm>
        <a:prstGeom prst="flowChartConnector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408865</xdr:colOff>
      <xdr:row>11</xdr:row>
      <xdr:rowOff>61915</xdr:rowOff>
    </xdr:from>
    <xdr:to>
      <xdr:col>5</xdr:col>
      <xdr:colOff>1182771</xdr:colOff>
      <xdr:row>12</xdr:row>
      <xdr:rowOff>26672</xdr:rowOff>
    </xdr:to>
    <xdr:sp macro="" textlink="">
      <xdr:nvSpPr>
        <xdr:cNvPr id="3" name="Flowchart: Proces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218990" y="2624140"/>
          <a:ext cx="773906" cy="269557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รับแจ้ง</a:t>
          </a:r>
        </a:p>
      </xdr:txBody>
    </xdr:sp>
    <xdr:clientData/>
  </xdr:twoCellAnchor>
  <xdr:twoCellAnchor>
    <xdr:from>
      <xdr:col>4</xdr:col>
      <xdr:colOff>746281</xdr:colOff>
      <xdr:row>8</xdr:row>
      <xdr:rowOff>286224</xdr:rowOff>
    </xdr:from>
    <xdr:to>
      <xdr:col>4</xdr:col>
      <xdr:colOff>746281</xdr:colOff>
      <xdr:row>9</xdr:row>
      <xdr:rowOff>176205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CxnSpPr>
          <a:stCxn id="2" idx="4"/>
          <a:endCxn id="6" idx="0"/>
        </xdr:cNvCxnSpPr>
      </xdr:nvCxnSpPr>
      <xdr:spPr>
        <a:xfrm>
          <a:off x="3975256" y="1934049"/>
          <a:ext cx="0" cy="194781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1133234</xdr:colOff>
      <xdr:row>10</xdr:row>
      <xdr:rowOff>6184</xdr:rowOff>
    </xdr:from>
    <xdr:to>
      <xdr:col>5</xdr:col>
      <xdr:colOff>795818</xdr:colOff>
      <xdr:row>11</xdr:row>
      <xdr:rowOff>61915</xdr:rowOff>
    </xdr:to>
    <xdr:cxnSp macro="">
      <xdr:nvCxnSpPr>
        <xdr:cNvPr id="5" name="Connector: Elbow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CxnSpPr>
          <a:stCxn id="6" idx="3"/>
          <a:endCxn id="3" idx="0"/>
        </xdr:cNvCxnSpPr>
      </xdr:nvCxnSpPr>
      <xdr:spPr>
        <a:xfrm>
          <a:off x="4362209" y="2263609"/>
          <a:ext cx="1243734" cy="360531"/>
        </a:xfrm>
        <a:prstGeom prst="bentConnector2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359328</xdr:colOff>
      <xdr:row>9</xdr:row>
      <xdr:rowOff>176205</xdr:rowOff>
    </xdr:from>
    <xdr:to>
      <xdr:col>4</xdr:col>
      <xdr:colOff>1133234</xdr:colOff>
      <xdr:row>10</xdr:row>
      <xdr:rowOff>140963</xdr:rowOff>
    </xdr:to>
    <xdr:sp macro="" textlink="">
      <xdr:nvSpPr>
        <xdr:cNvPr id="6" name="Flowchart: Proces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3588303" y="2128830"/>
          <a:ext cx="773906" cy="269558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แจ้งซ่อม</a:t>
          </a:r>
          <a:endParaRPr lang="en-US" sz="1600">
            <a:solidFill>
              <a:schemeClr val="tx2"/>
            </a:solidFill>
            <a:latin typeface="TH SarabunPSK" panose="020B0500040200020003" pitchFamily="34" charset="-34"/>
            <a:cs typeface="TH SarabunPSK" panose="020B0500040200020003" pitchFamily="34" charset="-34"/>
          </a:endParaRPr>
        </a:p>
      </xdr:txBody>
    </xdr:sp>
    <xdr:clientData/>
  </xdr:twoCellAnchor>
  <xdr:twoCellAnchor>
    <xdr:from>
      <xdr:col>5</xdr:col>
      <xdr:colOff>159545</xdr:colOff>
      <xdr:row>14</xdr:row>
      <xdr:rowOff>166691</xdr:rowOff>
    </xdr:from>
    <xdr:to>
      <xdr:col>5</xdr:col>
      <xdr:colOff>1439705</xdr:colOff>
      <xdr:row>15</xdr:row>
      <xdr:rowOff>278607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/>
      </xdr:nvGrpSpPr>
      <xdr:grpSpPr>
        <a:xfrm>
          <a:off x="4898233" y="3690941"/>
          <a:ext cx="1280160" cy="421479"/>
          <a:chOff x="4988716" y="4060023"/>
          <a:chExt cx="1280160" cy="457200"/>
        </a:xfrm>
      </xdr:grpSpPr>
      <xdr:sp macro="" textlink="">
        <xdr:nvSpPr>
          <xdr:cNvPr id="8" name="Flowchart: Decision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/>
        </xdr:nvSpPr>
        <xdr:spPr>
          <a:xfrm>
            <a:off x="4988716" y="4060023"/>
            <a:ext cx="1280160" cy="457200"/>
          </a:xfrm>
          <a:prstGeom prst="flowChartDecision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9" name="Flowchart: Process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/>
        </xdr:nvSpPr>
        <xdr:spPr>
          <a:xfrm>
            <a:off x="4988716" y="4151463"/>
            <a:ext cx="1280160" cy="274320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600">
                <a:solidFill>
                  <a:schemeClr val="tx2"/>
                </a:solidFill>
                <a:effectLst/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กำหนดวิธีการซ่อม</a:t>
            </a:r>
            <a:endParaRPr lang="en-US" sz="2400">
              <a:solidFill>
                <a:schemeClr val="tx2"/>
              </a:solidFill>
              <a:effectLst/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</xdr:grpSp>
    <xdr:clientData/>
  </xdr:twoCellAnchor>
  <xdr:twoCellAnchor>
    <xdr:from>
      <xdr:col>5</xdr:col>
      <xdr:colOff>240506</xdr:colOff>
      <xdr:row>25</xdr:row>
      <xdr:rowOff>245265</xdr:rowOff>
    </xdr:from>
    <xdr:to>
      <xdr:col>5</xdr:col>
      <xdr:colOff>1337786</xdr:colOff>
      <xdr:row>26</xdr:row>
      <xdr:rowOff>210023</xdr:rowOff>
    </xdr:to>
    <xdr:sp macro="" textlink="">
      <xdr:nvSpPr>
        <xdr:cNvPr id="10" name="Flowchart: Process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5050631" y="7074690"/>
          <a:ext cx="1097280" cy="269558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ดำเนินการซ่อม</a:t>
          </a:r>
        </a:p>
      </xdr:txBody>
    </xdr:sp>
    <xdr:clientData/>
  </xdr:twoCellAnchor>
  <xdr:twoCellAnchor>
    <xdr:from>
      <xdr:col>8</xdr:col>
      <xdr:colOff>246696</xdr:colOff>
      <xdr:row>14</xdr:row>
      <xdr:rowOff>240271</xdr:rowOff>
    </xdr:from>
    <xdr:to>
      <xdr:col>8</xdr:col>
      <xdr:colOff>1343976</xdr:colOff>
      <xdr:row>15</xdr:row>
      <xdr:rowOff>205027</xdr:rowOff>
    </xdr:to>
    <xdr:sp macro="" textlink="">
      <xdr:nvSpPr>
        <xdr:cNvPr id="11" name="Flowchart: Process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9800271" y="3716896"/>
          <a:ext cx="1097280" cy="269556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แจ้งช่างภายนอก</a:t>
          </a:r>
        </a:p>
      </xdr:txBody>
    </xdr:sp>
    <xdr:clientData/>
  </xdr:twoCellAnchor>
  <xdr:twoCellAnchor>
    <xdr:from>
      <xdr:col>5</xdr:col>
      <xdr:colOff>157166</xdr:colOff>
      <xdr:row>16</xdr:row>
      <xdr:rowOff>211939</xdr:rowOff>
    </xdr:from>
    <xdr:to>
      <xdr:col>5</xdr:col>
      <xdr:colOff>1437326</xdr:colOff>
      <xdr:row>18</xdr:row>
      <xdr:rowOff>50013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GrpSpPr/>
      </xdr:nvGrpSpPr>
      <xdr:grpSpPr>
        <a:xfrm>
          <a:off x="4895854" y="4355314"/>
          <a:ext cx="1280160" cy="457199"/>
          <a:chOff x="4988716" y="4060023"/>
          <a:chExt cx="1280160" cy="457200"/>
        </a:xfrm>
      </xdr:grpSpPr>
      <xdr:sp macro="" textlink="">
        <xdr:nvSpPr>
          <xdr:cNvPr id="13" name="Flowchart: Decision 1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/>
        </xdr:nvSpPr>
        <xdr:spPr>
          <a:xfrm>
            <a:off x="4988716" y="4060023"/>
            <a:ext cx="1280160" cy="457200"/>
          </a:xfrm>
          <a:prstGeom prst="flowChartDecision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14" name="Flowchart: Process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SpPr/>
        </xdr:nvSpPr>
        <xdr:spPr>
          <a:xfrm>
            <a:off x="4988716" y="4151463"/>
            <a:ext cx="1280160" cy="274320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600">
                <a:solidFill>
                  <a:schemeClr val="tx2"/>
                </a:solidFill>
                <a:effectLst/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ตรวจสอบอะไหล่</a:t>
            </a:r>
            <a:endParaRPr lang="en-US" sz="2400">
              <a:solidFill>
                <a:schemeClr val="tx2"/>
              </a:solidFill>
              <a:effectLst/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</xdr:grpSp>
    <xdr:clientData/>
  </xdr:twoCellAnchor>
  <xdr:twoCellAnchor>
    <xdr:from>
      <xdr:col>5</xdr:col>
      <xdr:colOff>250033</xdr:colOff>
      <xdr:row>19</xdr:row>
      <xdr:rowOff>28563</xdr:rowOff>
    </xdr:from>
    <xdr:to>
      <xdr:col>5</xdr:col>
      <xdr:colOff>1347313</xdr:colOff>
      <xdr:row>19</xdr:row>
      <xdr:rowOff>302882</xdr:rowOff>
    </xdr:to>
    <xdr:sp macro="" textlink="">
      <xdr:nvSpPr>
        <xdr:cNvPr id="15" name="Flowchart: Process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5060158" y="5029188"/>
          <a:ext cx="1097280" cy="274319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ดำเนินการขอซื้อ</a:t>
          </a:r>
        </a:p>
      </xdr:txBody>
    </xdr:sp>
    <xdr:clientData/>
  </xdr:twoCellAnchor>
  <xdr:twoCellAnchor>
    <xdr:from>
      <xdr:col>7</xdr:col>
      <xdr:colOff>250030</xdr:colOff>
      <xdr:row>19</xdr:row>
      <xdr:rowOff>27140</xdr:rowOff>
    </xdr:from>
    <xdr:to>
      <xdr:col>7</xdr:col>
      <xdr:colOff>1347310</xdr:colOff>
      <xdr:row>19</xdr:row>
      <xdr:rowOff>301461</xdr:rowOff>
    </xdr:to>
    <xdr:sp macro="" textlink="">
      <xdr:nvSpPr>
        <xdr:cNvPr id="16" name="Flowchart: Process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8222455" y="5027765"/>
          <a:ext cx="1097280" cy="274321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จัดซื้อ/</a:t>
          </a:r>
          <a:r>
            <a:rPr lang="th-TH" sz="1600" baseline="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 จัดจ้าง</a:t>
          </a:r>
          <a:endParaRPr lang="th-TH" sz="1600">
            <a:solidFill>
              <a:schemeClr val="tx2"/>
            </a:solidFill>
            <a:latin typeface="TH SarabunPSK" panose="020B0500040200020003" pitchFamily="34" charset="-34"/>
            <a:cs typeface="TH SarabunPSK" panose="020B0500040200020003" pitchFamily="34" charset="-34"/>
          </a:endParaRPr>
        </a:p>
      </xdr:txBody>
    </xdr:sp>
    <xdr:clientData/>
  </xdr:twoCellAnchor>
  <xdr:twoCellAnchor>
    <xdr:from>
      <xdr:col>6</xdr:col>
      <xdr:colOff>154790</xdr:colOff>
      <xdr:row>18</xdr:row>
      <xdr:rowOff>245262</xdr:rowOff>
    </xdr:from>
    <xdr:to>
      <xdr:col>6</xdr:col>
      <xdr:colOff>1434950</xdr:colOff>
      <xdr:row>20</xdr:row>
      <xdr:rowOff>83337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pSpPr/>
      </xdr:nvGrpSpPr>
      <xdr:grpSpPr>
        <a:xfrm>
          <a:off x="6453196" y="5007762"/>
          <a:ext cx="1280160" cy="457200"/>
          <a:chOff x="4988716" y="4060023"/>
          <a:chExt cx="1280160" cy="457200"/>
        </a:xfrm>
      </xdr:grpSpPr>
      <xdr:sp macro="" textlink="">
        <xdr:nvSpPr>
          <xdr:cNvPr id="18" name="Flowchart: Decision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>
            <a:off x="4988716" y="4060023"/>
            <a:ext cx="1280160" cy="457200"/>
          </a:xfrm>
          <a:prstGeom prst="flowChartDecision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19" name="Flowchart: Process 18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/>
        </xdr:nvSpPr>
        <xdr:spPr>
          <a:xfrm>
            <a:off x="4988716" y="4151463"/>
            <a:ext cx="1280160" cy="274320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600">
                <a:solidFill>
                  <a:schemeClr val="tx2"/>
                </a:solidFill>
                <a:effectLst/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พิจารณา</a:t>
            </a:r>
            <a:endParaRPr lang="en-US" sz="2400">
              <a:solidFill>
                <a:schemeClr val="tx2"/>
              </a:solidFill>
              <a:effectLst/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</xdr:grpSp>
    <xdr:clientData/>
  </xdr:twoCellAnchor>
  <xdr:twoCellAnchor>
    <xdr:from>
      <xdr:col>8</xdr:col>
      <xdr:colOff>95726</xdr:colOff>
      <xdr:row>27</xdr:row>
      <xdr:rowOff>221480</xdr:rowOff>
    </xdr:from>
    <xdr:to>
      <xdr:col>8</xdr:col>
      <xdr:colOff>1375886</xdr:colOff>
      <xdr:row>29</xdr:row>
      <xdr:rowOff>59555</xdr:rowOff>
    </xdr:to>
    <xdr:grpSp>
      <xdr:nvGrpSpPr>
        <xdr:cNvPr id="20" name="Group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9513570" y="7770043"/>
          <a:ext cx="1280160" cy="457200"/>
          <a:chOff x="4988716" y="4060023"/>
          <a:chExt cx="1280160" cy="457200"/>
        </a:xfrm>
      </xdr:grpSpPr>
      <xdr:sp macro="" textlink="">
        <xdr:nvSpPr>
          <xdr:cNvPr id="21" name="Flowchart: Decision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SpPr/>
        </xdr:nvSpPr>
        <xdr:spPr>
          <a:xfrm>
            <a:off x="4988716" y="4060023"/>
            <a:ext cx="1280160" cy="457200"/>
          </a:xfrm>
          <a:prstGeom prst="flowChartDecision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22" name="Flowchart: Process 21">
            <a:extLst>
              <a:ext uri="{FF2B5EF4-FFF2-40B4-BE49-F238E27FC236}">
                <a16:creationId xmlns:a16="http://schemas.microsoft.com/office/drawing/2014/main" id="{00000000-0008-0000-0200-000016000000}"/>
              </a:ext>
            </a:extLst>
          </xdr:cNvPr>
          <xdr:cNvSpPr/>
        </xdr:nvSpPr>
        <xdr:spPr>
          <a:xfrm>
            <a:off x="4988716" y="4151463"/>
            <a:ext cx="1280160" cy="274320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400">
                <a:solidFill>
                  <a:schemeClr val="tx2"/>
                </a:solidFill>
                <a:effectLst/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ตรวจสอบหลังการซ่อม</a:t>
            </a:r>
            <a:endParaRPr lang="en-US" sz="2000">
              <a:solidFill>
                <a:schemeClr val="tx2"/>
              </a:solidFill>
              <a:effectLst/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</xdr:grpSp>
    <xdr:clientData/>
  </xdr:twoCellAnchor>
  <xdr:twoCellAnchor>
    <xdr:from>
      <xdr:col>8</xdr:col>
      <xdr:colOff>115490</xdr:colOff>
      <xdr:row>18</xdr:row>
      <xdr:rowOff>139925</xdr:rowOff>
    </xdr:from>
    <xdr:to>
      <xdr:col>8</xdr:col>
      <xdr:colOff>1475183</xdr:colOff>
      <xdr:row>20</xdr:row>
      <xdr:rowOff>197075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GrpSpPr/>
      </xdr:nvGrpSpPr>
      <xdr:grpSpPr>
        <a:xfrm>
          <a:off x="9533334" y="4902425"/>
          <a:ext cx="1359693" cy="676275"/>
          <a:chOff x="11140677" y="4652389"/>
          <a:chExt cx="1359693" cy="676275"/>
        </a:xfrm>
      </xdr:grpSpPr>
      <xdr:sp macro="" textlink="">
        <xdr:nvSpPr>
          <xdr:cNvPr id="24" name="Flowchart: Process 23">
            <a:extLst>
              <a:ext uri="{FF2B5EF4-FFF2-40B4-BE49-F238E27FC236}">
                <a16:creationId xmlns:a16="http://schemas.microsoft.com/office/drawing/2014/main" id="{00000000-0008-0000-0200-000018000000}"/>
              </a:ext>
            </a:extLst>
          </xdr:cNvPr>
          <xdr:cNvSpPr/>
        </xdr:nvSpPr>
        <xdr:spPr>
          <a:xfrm>
            <a:off x="11140677" y="4729771"/>
            <a:ext cx="1359693" cy="521511"/>
          </a:xfrm>
          <a:prstGeom prst="flowChartProcess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25" name="Flowchart: Process 2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SpPr/>
        </xdr:nvSpPr>
        <xdr:spPr>
          <a:xfrm>
            <a:off x="11140677" y="4652389"/>
            <a:ext cx="1359693" cy="676275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600">
                <a:solidFill>
                  <a:schemeClr val="tx2"/>
                </a:solidFill>
                <a:latin typeface="TH SarabunPSK" panose="020B0500040200020003" pitchFamily="34" charset="-34"/>
                <a:cs typeface="TH SarabunPSK" panose="020B0500040200020003" pitchFamily="34" charset="-34"/>
              </a:rPr>
              <a:t>เสนอราคา/ แจ้งระยะเวลาในการซ่อม</a:t>
            </a:r>
          </a:p>
        </xdr:txBody>
      </xdr:sp>
    </xdr:grpSp>
    <xdr:clientData/>
  </xdr:twoCellAnchor>
  <xdr:twoCellAnchor>
    <xdr:from>
      <xdr:col>5</xdr:col>
      <xdr:colOff>652459</xdr:colOff>
      <xdr:row>33</xdr:row>
      <xdr:rowOff>307179</xdr:rowOff>
    </xdr:from>
    <xdr:to>
      <xdr:col>5</xdr:col>
      <xdr:colOff>926779</xdr:colOff>
      <xdr:row>34</xdr:row>
      <xdr:rowOff>271936</xdr:rowOff>
    </xdr:to>
    <xdr:sp macro="" textlink="">
      <xdr:nvSpPr>
        <xdr:cNvPr id="26" name="Flowchart: Connector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5462584" y="9575004"/>
          <a:ext cx="274320" cy="269557"/>
        </a:xfrm>
        <a:prstGeom prst="flowChartConnector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1506374</xdr:colOff>
      <xdr:row>14</xdr:row>
      <xdr:rowOff>154785</xdr:rowOff>
    </xdr:from>
    <xdr:to>
      <xdr:col>6</xdr:col>
      <xdr:colOff>837243</xdr:colOff>
      <xdr:row>15</xdr:row>
      <xdr:rowOff>86200</xdr:rowOff>
    </xdr:to>
    <xdr:sp macro="" textlink="">
      <xdr:nvSpPr>
        <xdr:cNvPr id="27" name="Flowchart: Process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6316499" y="3631410"/>
          <a:ext cx="912019" cy="236215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C00000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ซ่อมเองไม่ได้</a:t>
          </a:r>
        </a:p>
      </xdr:txBody>
    </xdr:sp>
    <xdr:clientData/>
  </xdr:twoCellAnchor>
  <xdr:twoCellAnchor>
    <xdr:from>
      <xdr:col>5</xdr:col>
      <xdr:colOff>789625</xdr:colOff>
      <xdr:row>15</xdr:row>
      <xdr:rowOff>273838</xdr:rowOff>
    </xdr:from>
    <xdr:to>
      <xdr:col>5</xdr:col>
      <xdr:colOff>1521146</xdr:colOff>
      <xdr:row>16</xdr:row>
      <xdr:rowOff>238598</xdr:rowOff>
    </xdr:to>
    <xdr:sp macro="" textlink="">
      <xdr:nvSpPr>
        <xdr:cNvPr id="28" name="Flowchart: Process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>
        <a:xfrm>
          <a:off x="5599750" y="4055263"/>
          <a:ext cx="731521" cy="269560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0000FF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ซ่อมเองได้</a:t>
          </a:r>
        </a:p>
      </xdr:txBody>
    </xdr:sp>
    <xdr:clientData/>
  </xdr:twoCellAnchor>
  <xdr:twoCellAnchor>
    <xdr:from>
      <xdr:col>5</xdr:col>
      <xdr:colOff>813434</xdr:colOff>
      <xdr:row>18</xdr:row>
      <xdr:rowOff>47620</xdr:rowOff>
    </xdr:from>
    <xdr:to>
      <xdr:col>5</xdr:col>
      <xdr:colOff>1270634</xdr:colOff>
      <xdr:row>19</xdr:row>
      <xdr:rowOff>12377</xdr:rowOff>
    </xdr:to>
    <xdr:sp macro="" textlink="">
      <xdr:nvSpPr>
        <xdr:cNvPr id="29" name="Flowchart: Process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>
        <a:xfrm>
          <a:off x="5623559" y="4743445"/>
          <a:ext cx="457200" cy="269557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C00000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ไม่มี</a:t>
          </a:r>
        </a:p>
      </xdr:txBody>
    </xdr:sp>
    <xdr:clientData/>
  </xdr:twoCellAnchor>
  <xdr:twoCellAnchor>
    <xdr:from>
      <xdr:col>4</xdr:col>
      <xdr:colOff>1508758</xdr:colOff>
      <xdr:row>16</xdr:row>
      <xdr:rowOff>183354</xdr:rowOff>
    </xdr:from>
    <xdr:to>
      <xdr:col>5</xdr:col>
      <xdr:colOff>290987</xdr:colOff>
      <xdr:row>17</xdr:row>
      <xdr:rowOff>148111</xdr:rowOff>
    </xdr:to>
    <xdr:sp macro="" textlink="">
      <xdr:nvSpPr>
        <xdr:cNvPr id="30" name="Flowchart: Process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4737733" y="4269579"/>
          <a:ext cx="363379" cy="269557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0000FF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มี</a:t>
          </a:r>
        </a:p>
      </xdr:txBody>
    </xdr:sp>
    <xdr:clientData/>
  </xdr:twoCellAnchor>
  <xdr:twoCellAnchor>
    <xdr:from>
      <xdr:col>8</xdr:col>
      <xdr:colOff>246696</xdr:colOff>
      <xdr:row>16</xdr:row>
      <xdr:rowOff>208130</xdr:rowOff>
    </xdr:from>
    <xdr:to>
      <xdr:col>8</xdr:col>
      <xdr:colOff>1343976</xdr:colOff>
      <xdr:row>17</xdr:row>
      <xdr:rowOff>172888</xdr:rowOff>
    </xdr:to>
    <xdr:sp macro="" textlink="">
      <xdr:nvSpPr>
        <xdr:cNvPr id="31" name="Flowchart: Process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9800271" y="4294355"/>
          <a:ext cx="1097280" cy="269558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ประเมินการซ่อม</a:t>
          </a:r>
        </a:p>
      </xdr:txBody>
    </xdr:sp>
    <xdr:clientData/>
  </xdr:twoCellAnchor>
  <xdr:twoCellAnchor>
    <xdr:from>
      <xdr:col>5</xdr:col>
      <xdr:colOff>157166</xdr:colOff>
      <xdr:row>17</xdr:row>
      <xdr:rowOff>130975</xdr:rowOff>
    </xdr:from>
    <xdr:to>
      <xdr:col>5</xdr:col>
      <xdr:colOff>240506</xdr:colOff>
      <xdr:row>26</xdr:row>
      <xdr:rowOff>72862</xdr:rowOff>
    </xdr:to>
    <xdr:cxnSp macro="">
      <xdr:nvCxnSpPr>
        <xdr:cNvPr id="32" name="Connector: Elbow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CxnSpPr>
          <a:stCxn id="13" idx="1"/>
          <a:endCxn id="10" idx="1"/>
        </xdr:cNvCxnSpPr>
      </xdr:nvCxnSpPr>
      <xdr:spPr>
        <a:xfrm rot="10800000" flipH="1" flipV="1">
          <a:off x="4967291" y="4522000"/>
          <a:ext cx="83340" cy="2685087"/>
        </a:xfrm>
        <a:prstGeom prst="bentConnector3">
          <a:avLst>
            <a:gd name="adj1" fmla="val -145721"/>
          </a:avLst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797246</xdr:colOff>
      <xdr:row>18</xdr:row>
      <xdr:rowOff>50013</xdr:rowOff>
    </xdr:from>
    <xdr:to>
      <xdr:col>5</xdr:col>
      <xdr:colOff>798673</xdr:colOff>
      <xdr:row>19</xdr:row>
      <xdr:rowOff>28563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CxnSpPr>
          <a:stCxn id="13" idx="2"/>
          <a:endCxn id="15" idx="0"/>
        </xdr:cNvCxnSpPr>
      </xdr:nvCxnSpPr>
      <xdr:spPr>
        <a:xfrm>
          <a:off x="5607371" y="4745838"/>
          <a:ext cx="1427" cy="283350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1439705</xdr:colOff>
      <xdr:row>15</xdr:row>
      <xdr:rowOff>67868</xdr:rowOff>
    </xdr:from>
    <xdr:to>
      <xdr:col>8</xdr:col>
      <xdr:colOff>246696</xdr:colOff>
      <xdr:row>15</xdr:row>
      <xdr:rowOff>67868</xdr:rowOff>
    </xdr:to>
    <xdr:cxnSp macro="">
      <xdr:nvCxnSpPr>
        <xdr:cNvPr id="34" name="Straight Arrow Connector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CxnSpPr>
          <a:stCxn id="9" idx="3"/>
          <a:endCxn id="11" idx="1"/>
        </xdr:cNvCxnSpPr>
      </xdr:nvCxnSpPr>
      <xdr:spPr>
        <a:xfrm>
          <a:off x="6249830" y="3849293"/>
          <a:ext cx="3550441" cy="0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827962</xdr:colOff>
      <xdr:row>20</xdr:row>
      <xdr:rowOff>119694</xdr:rowOff>
    </xdr:from>
    <xdr:to>
      <xdr:col>8</xdr:col>
      <xdr:colOff>795337</xdr:colOff>
      <xdr:row>21</xdr:row>
      <xdr:rowOff>152401</xdr:rowOff>
    </xdr:to>
    <xdr:cxnSp macro="">
      <xdr:nvCxnSpPr>
        <xdr:cNvPr id="35" name="Connector: Elbow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CxnSpPr>
          <a:stCxn id="24" idx="2"/>
          <a:endCxn id="46" idx="0"/>
        </xdr:cNvCxnSpPr>
      </xdr:nvCxnSpPr>
      <xdr:spPr>
        <a:xfrm rot="5400000">
          <a:off x="7824746" y="3238460"/>
          <a:ext cx="337507" cy="4710825"/>
        </a:xfrm>
        <a:prstGeom prst="bentConnector3">
          <a:avLst>
            <a:gd name="adj1" fmla="val 50000"/>
          </a:avLst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795336</xdr:colOff>
      <xdr:row>15</xdr:row>
      <xdr:rowOff>205027</xdr:rowOff>
    </xdr:from>
    <xdr:to>
      <xdr:col>8</xdr:col>
      <xdr:colOff>795336</xdr:colOff>
      <xdr:row>16</xdr:row>
      <xdr:rowOff>208130</xdr:rowOff>
    </xdr:to>
    <xdr:cxnSp macro="">
      <xdr:nvCxnSpPr>
        <xdr:cNvPr id="36" name="Straight Arrow Connector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CxnSpPr>
          <a:stCxn id="11" idx="2"/>
          <a:endCxn id="31" idx="0"/>
        </xdr:cNvCxnSpPr>
      </xdr:nvCxnSpPr>
      <xdr:spPr>
        <a:xfrm>
          <a:off x="10348911" y="3986452"/>
          <a:ext cx="0" cy="307903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795336</xdr:colOff>
      <xdr:row>17</xdr:row>
      <xdr:rowOff>172888</xdr:rowOff>
    </xdr:from>
    <xdr:to>
      <xdr:col>8</xdr:col>
      <xdr:colOff>795337</xdr:colOff>
      <xdr:row>18</xdr:row>
      <xdr:rowOff>217307</xdr:rowOff>
    </xdr:to>
    <xdr:cxnSp macro="">
      <xdr:nvCxnSpPr>
        <xdr:cNvPr id="37" name="Straight Arrow Connector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CxnSpPr>
          <a:stCxn id="31" idx="2"/>
          <a:endCxn id="24" idx="0"/>
        </xdr:cNvCxnSpPr>
      </xdr:nvCxnSpPr>
      <xdr:spPr>
        <a:xfrm>
          <a:off x="10348911" y="4563913"/>
          <a:ext cx="1" cy="349219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190500</xdr:colOff>
      <xdr:row>25</xdr:row>
      <xdr:rowOff>290509</xdr:rowOff>
    </xdr:from>
    <xdr:to>
      <xdr:col>8</xdr:col>
      <xdr:colOff>1287780</xdr:colOff>
      <xdr:row>26</xdr:row>
      <xdr:rowOff>255267</xdr:rowOff>
    </xdr:to>
    <xdr:sp macro="" textlink="">
      <xdr:nvSpPr>
        <xdr:cNvPr id="38" name="Flowchart: Process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>
        <a:xfrm>
          <a:off x="9744075" y="7119934"/>
          <a:ext cx="1097280" cy="269558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ดำเนินการซ่อม</a:t>
          </a:r>
        </a:p>
      </xdr:txBody>
    </xdr:sp>
    <xdr:clientData/>
  </xdr:twoCellAnchor>
  <xdr:twoCellAnchor>
    <xdr:from>
      <xdr:col>5</xdr:col>
      <xdr:colOff>271464</xdr:colOff>
      <xdr:row>23</xdr:row>
      <xdr:rowOff>49993</xdr:rowOff>
    </xdr:from>
    <xdr:to>
      <xdr:col>5</xdr:col>
      <xdr:colOff>1368744</xdr:colOff>
      <xdr:row>24</xdr:row>
      <xdr:rowOff>14749</xdr:rowOff>
    </xdr:to>
    <xdr:sp macro="" textlink="">
      <xdr:nvSpPr>
        <xdr:cNvPr id="39" name="Flowchart: Process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>
        <a:xfrm>
          <a:off x="5081589" y="6269818"/>
          <a:ext cx="1097280" cy="269556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ดำเนินการขอซื้อ</a:t>
          </a:r>
        </a:p>
      </xdr:txBody>
    </xdr:sp>
    <xdr:clientData/>
  </xdr:twoCellAnchor>
  <xdr:twoCellAnchor>
    <xdr:from>
      <xdr:col>6</xdr:col>
      <xdr:colOff>223847</xdr:colOff>
      <xdr:row>22</xdr:row>
      <xdr:rowOff>266693</xdr:rowOff>
    </xdr:from>
    <xdr:to>
      <xdr:col>6</xdr:col>
      <xdr:colOff>1504007</xdr:colOff>
      <xdr:row>24</xdr:row>
      <xdr:rowOff>104768</xdr:rowOff>
    </xdr:to>
    <xdr:grpSp>
      <xdr:nvGrpSpPr>
        <xdr:cNvPr id="40" name="Group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pSpPr/>
      </xdr:nvGrpSpPr>
      <xdr:grpSpPr>
        <a:xfrm>
          <a:off x="6522253" y="6267443"/>
          <a:ext cx="1280160" cy="457200"/>
          <a:chOff x="4988716" y="4060023"/>
          <a:chExt cx="1280160" cy="457200"/>
        </a:xfrm>
      </xdr:grpSpPr>
      <xdr:sp macro="" textlink="">
        <xdr:nvSpPr>
          <xdr:cNvPr id="41" name="Flowchart: Decision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SpPr/>
        </xdr:nvSpPr>
        <xdr:spPr>
          <a:xfrm>
            <a:off x="4988716" y="4060023"/>
            <a:ext cx="1280160" cy="457200"/>
          </a:xfrm>
          <a:prstGeom prst="flowChartDecision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42" name="Flowchart: Process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SpPr/>
        </xdr:nvSpPr>
        <xdr:spPr>
          <a:xfrm>
            <a:off x="4988716" y="4151463"/>
            <a:ext cx="1280160" cy="274320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600">
                <a:solidFill>
                  <a:schemeClr val="tx2"/>
                </a:solidFill>
                <a:effectLst/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พิจารณา</a:t>
            </a:r>
            <a:endParaRPr lang="en-US" sz="2400">
              <a:solidFill>
                <a:schemeClr val="tx2"/>
              </a:solidFill>
              <a:effectLst/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</xdr:grpSp>
    <xdr:clientData/>
  </xdr:twoCellAnchor>
  <xdr:twoCellAnchor>
    <xdr:from>
      <xdr:col>7</xdr:col>
      <xdr:colOff>283370</xdr:colOff>
      <xdr:row>23</xdr:row>
      <xdr:rowOff>48572</xdr:rowOff>
    </xdr:from>
    <xdr:to>
      <xdr:col>7</xdr:col>
      <xdr:colOff>1380650</xdr:colOff>
      <xdr:row>24</xdr:row>
      <xdr:rowOff>13330</xdr:rowOff>
    </xdr:to>
    <xdr:sp macro="" textlink="">
      <xdr:nvSpPr>
        <xdr:cNvPr id="43" name="Flowchart: Process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>
        <a:xfrm>
          <a:off x="8255795" y="6268397"/>
          <a:ext cx="1097280" cy="269558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จัดซื้อ/</a:t>
          </a:r>
          <a:r>
            <a:rPr lang="th-TH" sz="1600" baseline="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 จัดจ้าง</a:t>
          </a:r>
          <a:endParaRPr lang="th-TH" sz="1600">
            <a:solidFill>
              <a:schemeClr val="tx2"/>
            </a:solidFill>
            <a:latin typeface="TH SarabunPSK" panose="020B0500040200020003" pitchFamily="34" charset="-34"/>
            <a:cs typeface="TH SarabunPSK" panose="020B0500040200020003" pitchFamily="34" charset="-34"/>
          </a:endParaRPr>
        </a:p>
      </xdr:txBody>
    </xdr:sp>
    <xdr:clientData/>
  </xdr:twoCellAnchor>
  <xdr:twoCellAnchor>
    <xdr:from>
      <xdr:col>5</xdr:col>
      <xdr:colOff>1347313</xdr:colOff>
      <xdr:row>19</xdr:row>
      <xdr:rowOff>164300</xdr:rowOff>
    </xdr:from>
    <xdr:to>
      <xdr:col>6</xdr:col>
      <xdr:colOff>154790</xdr:colOff>
      <xdr:row>19</xdr:row>
      <xdr:rowOff>165723</xdr:rowOff>
    </xdr:to>
    <xdr:cxnSp macro="">
      <xdr:nvCxnSpPr>
        <xdr:cNvPr id="44" name="Straight Arrow Connector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CxnSpPr>
          <a:stCxn id="15" idx="3"/>
          <a:endCxn id="19" idx="1"/>
        </xdr:cNvCxnSpPr>
      </xdr:nvCxnSpPr>
      <xdr:spPr>
        <a:xfrm flipV="1">
          <a:off x="6157438" y="5164925"/>
          <a:ext cx="388627" cy="1423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1434950</xdr:colOff>
      <xdr:row>19</xdr:row>
      <xdr:rowOff>164300</xdr:rowOff>
    </xdr:from>
    <xdr:to>
      <xdr:col>7</xdr:col>
      <xdr:colOff>250030</xdr:colOff>
      <xdr:row>19</xdr:row>
      <xdr:rowOff>164301</xdr:rowOff>
    </xdr:to>
    <xdr:cxnSp macro="">
      <xdr:nvCxnSpPr>
        <xdr:cNvPr id="45" name="Straight Arrow Connector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CxnSpPr>
          <a:stCxn id="18" idx="3"/>
          <a:endCxn id="16" idx="1"/>
        </xdr:cNvCxnSpPr>
      </xdr:nvCxnSpPr>
      <xdr:spPr>
        <a:xfrm>
          <a:off x="7826225" y="5164925"/>
          <a:ext cx="396230" cy="1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279322</xdr:colOff>
      <xdr:row>21</xdr:row>
      <xdr:rowOff>152400</xdr:rowOff>
    </xdr:from>
    <xdr:to>
      <xdr:col>5</xdr:col>
      <xdr:colOff>1376602</xdr:colOff>
      <xdr:row>22</xdr:row>
      <xdr:rowOff>117157</xdr:rowOff>
    </xdr:to>
    <xdr:sp macro="" textlink="">
      <xdr:nvSpPr>
        <xdr:cNvPr id="46" name="Flowchart: Process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/>
      </xdr:nvSpPr>
      <xdr:spPr>
        <a:xfrm>
          <a:off x="5089447" y="5762625"/>
          <a:ext cx="1097280" cy="269557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รับใบเสนอราคา</a:t>
          </a:r>
        </a:p>
      </xdr:txBody>
    </xdr:sp>
    <xdr:clientData/>
  </xdr:twoCellAnchor>
  <xdr:twoCellAnchor>
    <xdr:from>
      <xdr:col>5</xdr:col>
      <xdr:colOff>820104</xdr:colOff>
      <xdr:row>22</xdr:row>
      <xdr:rowOff>117157</xdr:rowOff>
    </xdr:from>
    <xdr:to>
      <xdr:col>5</xdr:col>
      <xdr:colOff>827962</xdr:colOff>
      <xdr:row>23</xdr:row>
      <xdr:rowOff>49993</xdr:rowOff>
    </xdr:to>
    <xdr:cxnSp macro="">
      <xdr:nvCxnSpPr>
        <xdr:cNvPr id="47" name="Straight Arrow Connector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CxnSpPr>
          <a:stCxn id="46" idx="2"/>
          <a:endCxn id="39" idx="0"/>
        </xdr:cNvCxnSpPr>
      </xdr:nvCxnSpPr>
      <xdr:spPr>
        <a:xfrm flipH="1">
          <a:off x="5630229" y="6032182"/>
          <a:ext cx="7858" cy="237636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1368744</xdr:colOff>
      <xdr:row>23</xdr:row>
      <xdr:rowOff>185731</xdr:rowOff>
    </xdr:from>
    <xdr:to>
      <xdr:col>6</xdr:col>
      <xdr:colOff>223847</xdr:colOff>
      <xdr:row>23</xdr:row>
      <xdr:rowOff>187153</xdr:rowOff>
    </xdr:to>
    <xdr:cxnSp macro="">
      <xdr:nvCxnSpPr>
        <xdr:cNvPr id="48" name="Straight Arrow Connector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CxnSpPr>
          <a:stCxn id="39" idx="3"/>
          <a:endCxn id="42" idx="1"/>
        </xdr:cNvCxnSpPr>
      </xdr:nvCxnSpPr>
      <xdr:spPr>
        <a:xfrm flipV="1">
          <a:off x="6178869" y="6405556"/>
          <a:ext cx="436253" cy="1422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1504007</xdr:colOff>
      <xdr:row>23</xdr:row>
      <xdr:rowOff>185731</xdr:rowOff>
    </xdr:from>
    <xdr:to>
      <xdr:col>7</xdr:col>
      <xdr:colOff>283370</xdr:colOff>
      <xdr:row>23</xdr:row>
      <xdr:rowOff>185733</xdr:rowOff>
    </xdr:to>
    <xdr:cxnSp macro="">
      <xdr:nvCxnSpPr>
        <xdr:cNvPr id="49" name="Straight Arrow Connector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CxnSpPr>
          <a:stCxn id="42" idx="3"/>
          <a:endCxn id="43" idx="1"/>
        </xdr:cNvCxnSpPr>
      </xdr:nvCxnSpPr>
      <xdr:spPr>
        <a:xfrm>
          <a:off x="7895282" y="6405556"/>
          <a:ext cx="360513" cy="2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797246</xdr:colOff>
      <xdr:row>15</xdr:row>
      <xdr:rowOff>278607</xdr:rowOff>
    </xdr:from>
    <xdr:to>
      <xdr:col>5</xdr:col>
      <xdr:colOff>799625</xdr:colOff>
      <xdr:row>16</xdr:row>
      <xdr:rowOff>211939</xdr:rowOff>
    </xdr:to>
    <xdr:cxnSp macro="">
      <xdr:nvCxnSpPr>
        <xdr:cNvPr id="50" name="Straight Arrow Connector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CxnSpPr>
          <a:stCxn id="8" idx="2"/>
          <a:endCxn id="13" idx="0"/>
        </xdr:cNvCxnSpPr>
      </xdr:nvCxnSpPr>
      <xdr:spPr>
        <a:xfrm flipH="1">
          <a:off x="5607371" y="4060032"/>
          <a:ext cx="2379" cy="238132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789146</xdr:colOff>
      <xdr:row>19</xdr:row>
      <xdr:rowOff>164301</xdr:rowOff>
    </xdr:from>
    <xdr:to>
      <xdr:col>7</xdr:col>
      <xdr:colOff>1347310</xdr:colOff>
      <xdr:row>25</xdr:row>
      <xdr:rowOff>245265</xdr:rowOff>
    </xdr:to>
    <xdr:cxnSp macro="">
      <xdr:nvCxnSpPr>
        <xdr:cNvPr id="51" name="Connector: Elbow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CxnSpPr>
          <a:stCxn id="16" idx="3"/>
          <a:endCxn id="10" idx="0"/>
        </xdr:cNvCxnSpPr>
      </xdr:nvCxnSpPr>
      <xdr:spPr>
        <a:xfrm flipH="1">
          <a:off x="5599271" y="5164926"/>
          <a:ext cx="3720464" cy="1909764"/>
        </a:xfrm>
        <a:prstGeom prst="bentConnector4">
          <a:avLst>
            <a:gd name="adj1" fmla="val -3580"/>
            <a:gd name="adj2" fmla="val 85270"/>
          </a:avLst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1380650</xdr:colOff>
      <xdr:row>23</xdr:row>
      <xdr:rowOff>185733</xdr:rowOff>
    </xdr:from>
    <xdr:to>
      <xdr:col>8</xdr:col>
      <xdr:colOff>739140</xdr:colOff>
      <xdr:row>25</xdr:row>
      <xdr:rowOff>290509</xdr:rowOff>
    </xdr:to>
    <xdr:cxnSp macro="">
      <xdr:nvCxnSpPr>
        <xdr:cNvPr id="52" name="Connector: Elbow 51">
          <a:extLs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CxnSpPr>
          <a:stCxn id="43" idx="3"/>
          <a:endCxn id="38" idx="0"/>
        </xdr:cNvCxnSpPr>
      </xdr:nvCxnSpPr>
      <xdr:spPr>
        <a:xfrm>
          <a:off x="9353075" y="6405558"/>
          <a:ext cx="939640" cy="714376"/>
        </a:xfrm>
        <a:prstGeom prst="bentConnector2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1376548</xdr:colOff>
      <xdr:row>23</xdr:row>
      <xdr:rowOff>95250</xdr:rowOff>
    </xdr:from>
    <xdr:to>
      <xdr:col>7</xdr:col>
      <xdr:colOff>1559427</xdr:colOff>
      <xdr:row>23</xdr:row>
      <xdr:rowOff>278130</xdr:rowOff>
    </xdr:to>
    <xdr:sp macro="" textlink="">
      <xdr:nvSpPr>
        <xdr:cNvPr id="53" name="Arc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>
        <a:xfrm>
          <a:off x="9348973" y="6315075"/>
          <a:ext cx="182879" cy="182880"/>
        </a:xfrm>
        <a:prstGeom prst="arc">
          <a:avLst>
            <a:gd name="adj1" fmla="val 16200000"/>
            <a:gd name="adj2" fmla="val 5674429"/>
          </a:avLst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1374170</xdr:colOff>
      <xdr:row>20</xdr:row>
      <xdr:rowOff>188125</xdr:rowOff>
    </xdr:from>
    <xdr:to>
      <xdr:col>7</xdr:col>
      <xdr:colOff>1557049</xdr:colOff>
      <xdr:row>21</xdr:row>
      <xdr:rowOff>61443</xdr:rowOff>
    </xdr:to>
    <xdr:sp macro="" textlink="">
      <xdr:nvSpPr>
        <xdr:cNvPr id="54" name="Arc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/>
      </xdr:nvSpPr>
      <xdr:spPr>
        <a:xfrm>
          <a:off x="9346595" y="5493550"/>
          <a:ext cx="182879" cy="178118"/>
        </a:xfrm>
        <a:prstGeom prst="arc">
          <a:avLst>
            <a:gd name="adj1" fmla="val 16200000"/>
            <a:gd name="adj2" fmla="val 5674429"/>
          </a:avLst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152874</xdr:colOff>
      <xdr:row>27</xdr:row>
      <xdr:rowOff>183382</xdr:rowOff>
    </xdr:from>
    <xdr:to>
      <xdr:col>5</xdr:col>
      <xdr:colOff>1433034</xdr:colOff>
      <xdr:row>29</xdr:row>
      <xdr:rowOff>21457</xdr:rowOff>
    </xdr:to>
    <xdr:grpSp>
      <xdr:nvGrpSpPr>
        <xdr:cNvPr id="55" name="Group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GrpSpPr/>
      </xdr:nvGrpSpPr>
      <xdr:grpSpPr>
        <a:xfrm>
          <a:off x="4891562" y="7731945"/>
          <a:ext cx="1280160" cy="457200"/>
          <a:chOff x="4988716" y="4060023"/>
          <a:chExt cx="1280160" cy="457200"/>
        </a:xfrm>
      </xdr:grpSpPr>
      <xdr:sp macro="" textlink="">
        <xdr:nvSpPr>
          <xdr:cNvPr id="56" name="Flowchart: Decision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/>
        </xdr:nvSpPr>
        <xdr:spPr>
          <a:xfrm>
            <a:off x="4988716" y="4060023"/>
            <a:ext cx="1280160" cy="457200"/>
          </a:xfrm>
          <a:prstGeom prst="flowChartDecision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57" name="Flowchart: Process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/>
        </xdr:nvSpPr>
        <xdr:spPr>
          <a:xfrm>
            <a:off x="4988716" y="4151463"/>
            <a:ext cx="1280160" cy="274320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400">
                <a:solidFill>
                  <a:schemeClr val="tx2"/>
                </a:solidFill>
                <a:effectLst/>
                <a:latin typeface="TH SarabunPSK" panose="020B0500040200020003" pitchFamily="34" charset="-34"/>
                <a:ea typeface="+mn-ea"/>
                <a:cs typeface="TH SarabunPSK" panose="020B0500040200020003" pitchFamily="34" charset="-34"/>
              </a:rPr>
              <a:t>ตรวจสอบหลังการซ่อม</a:t>
            </a:r>
            <a:endParaRPr lang="en-US" sz="2000">
              <a:solidFill>
                <a:schemeClr val="tx2"/>
              </a:solidFill>
              <a:effectLst/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</xdr:grpSp>
    <xdr:clientData/>
  </xdr:twoCellAnchor>
  <xdr:twoCellAnchor>
    <xdr:from>
      <xdr:col>5</xdr:col>
      <xdr:colOff>1096806</xdr:colOff>
      <xdr:row>28</xdr:row>
      <xdr:rowOff>211925</xdr:rowOff>
    </xdr:from>
    <xdr:to>
      <xdr:col>6</xdr:col>
      <xdr:colOff>61914</xdr:colOff>
      <xdr:row>29</xdr:row>
      <xdr:rowOff>176681</xdr:rowOff>
    </xdr:to>
    <xdr:sp macro="" textlink="">
      <xdr:nvSpPr>
        <xdr:cNvPr id="58" name="Flowchart: Process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/>
      </xdr:nvSpPr>
      <xdr:spPr>
        <a:xfrm>
          <a:off x="5906931" y="7955750"/>
          <a:ext cx="546258" cy="269556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C00000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ไม่ผ่าน</a:t>
          </a:r>
        </a:p>
      </xdr:txBody>
    </xdr:sp>
    <xdr:clientData/>
  </xdr:twoCellAnchor>
  <xdr:twoCellAnchor>
    <xdr:from>
      <xdr:col>5</xdr:col>
      <xdr:colOff>772953</xdr:colOff>
      <xdr:row>29</xdr:row>
      <xdr:rowOff>30952</xdr:rowOff>
    </xdr:from>
    <xdr:to>
      <xdr:col>5</xdr:col>
      <xdr:colOff>1230153</xdr:colOff>
      <xdr:row>29</xdr:row>
      <xdr:rowOff>305271</xdr:rowOff>
    </xdr:to>
    <xdr:sp macro="" textlink="">
      <xdr:nvSpPr>
        <xdr:cNvPr id="59" name="Flowchart: Process 58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>
        <a:xfrm>
          <a:off x="5583078" y="8079577"/>
          <a:ext cx="457200" cy="274319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0000FF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ผ่าน</a:t>
          </a:r>
        </a:p>
      </xdr:txBody>
    </xdr:sp>
    <xdr:clientData/>
  </xdr:twoCellAnchor>
  <xdr:twoCellAnchor>
    <xdr:from>
      <xdr:col>5</xdr:col>
      <xdr:colOff>113106</xdr:colOff>
      <xdr:row>31</xdr:row>
      <xdr:rowOff>128623</xdr:rowOff>
    </xdr:from>
    <xdr:to>
      <xdr:col>5</xdr:col>
      <xdr:colOff>1472799</xdr:colOff>
      <xdr:row>33</xdr:row>
      <xdr:rowOff>185773</xdr:rowOff>
    </xdr:to>
    <xdr:grpSp>
      <xdr:nvGrpSpPr>
        <xdr:cNvPr id="60" name="Group 59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GrpSpPr/>
      </xdr:nvGrpSpPr>
      <xdr:grpSpPr>
        <a:xfrm>
          <a:off x="4851794" y="8915436"/>
          <a:ext cx="1359693" cy="676275"/>
          <a:chOff x="5149452" y="9665517"/>
          <a:chExt cx="1359693" cy="676275"/>
        </a:xfrm>
      </xdr:grpSpPr>
      <xdr:sp macro="" textlink="">
        <xdr:nvSpPr>
          <xdr:cNvPr id="61" name="Flowchart: Process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/>
        </xdr:nvSpPr>
        <xdr:spPr>
          <a:xfrm>
            <a:off x="5149452" y="9742899"/>
            <a:ext cx="1359693" cy="521511"/>
          </a:xfrm>
          <a:prstGeom prst="flowChartProcess">
            <a:avLst/>
          </a:prstGeom>
          <a:solidFill>
            <a:schemeClr val="accent1">
              <a:lumMod val="20000"/>
              <a:lumOff val="80000"/>
            </a:schemeClr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endParaRPr>
          </a:p>
        </xdr:txBody>
      </xdr:sp>
      <xdr:sp macro="" textlink="">
        <xdr:nvSpPr>
          <xdr:cNvPr id="62" name="Flowchart: Process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/>
        </xdr:nvSpPr>
        <xdr:spPr>
          <a:xfrm>
            <a:off x="5149452" y="9665517"/>
            <a:ext cx="1359693" cy="676275"/>
          </a:xfrm>
          <a:prstGeom prst="flowChartProcess">
            <a:avLst/>
          </a:prstGeom>
          <a:noFill/>
          <a:ln w="63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th-TH" sz="1600">
                <a:solidFill>
                  <a:schemeClr val="tx2"/>
                </a:solidFill>
                <a:latin typeface="TH SarabunPSK" panose="020B0500040200020003" pitchFamily="34" charset="-34"/>
                <a:cs typeface="TH SarabunPSK" panose="020B0500040200020003" pitchFamily="34" charset="-34"/>
              </a:rPr>
              <a:t>บันทึกประวัติการซ่อมบำรุงเครื่องจักร</a:t>
            </a:r>
          </a:p>
        </xdr:txBody>
      </xdr:sp>
    </xdr:grpSp>
    <xdr:clientData/>
  </xdr:twoCellAnchor>
  <xdr:twoCellAnchor>
    <xdr:from>
      <xdr:col>8</xdr:col>
      <xdr:colOff>735806</xdr:colOff>
      <xdr:row>26</xdr:row>
      <xdr:rowOff>255267</xdr:rowOff>
    </xdr:from>
    <xdr:to>
      <xdr:col>8</xdr:col>
      <xdr:colOff>739140</xdr:colOff>
      <xdr:row>27</xdr:row>
      <xdr:rowOff>221480</xdr:rowOff>
    </xdr:to>
    <xdr:cxnSp macro="">
      <xdr:nvCxnSpPr>
        <xdr:cNvPr id="63" name="Straight Arrow Connector 62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CxnSpPr>
          <a:stCxn id="38" idx="2"/>
          <a:endCxn id="21" idx="0"/>
        </xdr:cNvCxnSpPr>
      </xdr:nvCxnSpPr>
      <xdr:spPr>
        <a:xfrm flipH="1">
          <a:off x="10289381" y="7389492"/>
          <a:ext cx="3334" cy="271013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789146</xdr:colOff>
      <xdr:row>26</xdr:row>
      <xdr:rowOff>210023</xdr:rowOff>
    </xdr:from>
    <xdr:to>
      <xdr:col>5</xdr:col>
      <xdr:colOff>792954</xdr:colOff>
      <xdr:row>27</xdr:row>
      <xdr:rowOff>183382</xdr:rowOff>
    </xdr:to>
    <xdr:cxnSp macro="">
      <xdr:nvCxnSpPr>
        <xdr:cNvPr id="64" name="Straight Arrow Connector 63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CxnSpPr>
          <a:stCxn id="10" idx="2"/>
          <a:endCxn id="56" idx="0"/>
        </xdr:cNvCxnSpPr>
      </xdr:nvCxnSpPr>
      <xdr:spPr>
        <a:xfrm>
          <a:off x="5599271" y="7344248"/>
          <a:ext cx="3808" cy="278159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1287780</xdr:colOff>
      <xdr:row>26</xdr:row>
      <xdr:rowOff>118107</xdr:rowOff>
    </xdr:from>
    <xdr:to>
      <xdr:col>8</xdr:col>
      <xdr:colOff>1375886</xdr:colOff>
      <xdr:row>28</xdr:row>
      <xdr:rowOff>140517</xdr:rowOff>
    </xdr:to>
    <xdr:cxnSp macro="">
      <xdr:nvCxnSpPr>
        <xdr:cNvPr id="65" name="Connector: Elbow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CxnSpPr>
          <a:stCxn id="22" idx="3"/>
          <a:endCxn id="38" idx="3"/>
        </xdr:cNvCxnSpPr>
      </xdr:nvCxnSpPr>
      <xdr:spPr>
        <a:xfrm flipH="1" flipV="1">
          <a:off x="10841355" y="7252332"/>
          <a:ext cx="88106" cy="632010"/>
        </a:xfrm>
        <a:prstGeom prst="bentConnector3">
          <a:avLst>
            <a:gd name="adj1" fmla="val -164866"/>
          </a:avLst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1337786</xdr:colOff>
      <xdr:row>26</xdr:row>
      <xdr:rowOff>72863</xdr:rowOff>
    </xdr:from>
    <xdr:to>
      <xdr:col>5</xdr:col>
      <xdr:colOff>1433034</xdr:colOff>
      <xdr:row>28</xdr:row>
      <xdr:rowOff>102419</xdr:rowOff>
    </xdr:to>
    <xdr:cxnSp macro="">
      <xdr:nvCxnSpPr>
        <xdr:cNvPr id="66" name="Connector: Elbow 65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CxnSpPr>
          <a:stCxn id="57" idx="3"/>
          <a:endCxn id="10" idx="3"/>
        </xdr:cNvCxnSpPr>
      </xdr:nvCxnSpPr>
      <xdr:spPr>
        <a:xfrm flipH="1" flipV="1">
          <a:off x="6147911" y="7207088"/>
          <a:ext cx="95248" cy="639156"/>
        </a:xfrm>
        <a:prstGeom prst="bentConnector3">
          <a:avLst>
            <a:gd name="adj1" fmla="val -127503"/>
          </a:avLst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247651</xdr:colOff>
      <xdr:row>30</xdr:row>
      <xdr:rowOff>14289</xdr:rowOff>
    </xdr:from>
    <xdr:to>
      <xdr:col>5</xdr:col>
      <xdr:colOff>1344931</xdr:colOff>
      <xdr:row>30</xdr:row>
      <xdr:rowOff>288610</xdr:rowOff>
    </xdr:to>
    <xdr:sp macro="" textlink="">
      <xdr:nvSpPr>
        <xdr:cNvPr id="67" name="Flowchart: Process 66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/>
      </xdr:nvSpPr>
      <xdr:spPr>
        <a:xfrm>
          <a:off x="5057776" y="8367714"/>
          <a:ext cx="1097280" cy="274321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รายงานการซ่อม</a:t>
          </a:r>
        </a:p>
      </xdr:txBody>
    </xdr:sp>
    <xdr:clientData/>
  </xdr:twoCellAnchor>
  <xdr:twoCellAnchor>
    <xdr:from>
      <xdr:col>5</xdr:col>
      <xdr:colOff>1344931</xdr:colOff>
      <xdr:row>29</xdr:row>
      <xdr:rowOff>59555</xdr:rowOff>
    </xdr:from>
    <xdr:to>
      <xdr:col>8</xdr:col>
      <xdr:colOff>735806</xdr:colOff>
      <xdr:row>30</xdr:row>
      <xdr:rowOff>151450</xdr:rowOff>
    </xdr:to>
    <xdr:cxnSp macro="">
      <xdr:nvCxnSpPr>
        <xdr:cNvPr id="68" name="Connector: Elbow 67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CxnSpPr>
          <a:stCxn id="21" idx="2"/>
          <a:endCxn id="67" idx="3"/>
        </xdr:cNvCxnSpPr>
      </xdr:nvCxnSpPr>
      <xdr:spPr>
        <a:xfrm rot="5400000">
          <a:off x="8023871" y="6239365"/>
          <a:ext cx="396695" cy="4134325"/>
        </a:xfrm>
        <a:prstGeom prst="bentConnector2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792954</xdr:colOff>
      <xdr:row>29</xdr:row>
      <xdr:rowOff>21457</xdr:rowOff>
    </xdr:from>
    <xdr:to>
      <xdr:col>5</xdr:col>
      <xdr:colOff>796291</xdr:colOff>
      <xdr:row>30</xdr:row>
      <xdr:rowOff>14289</xdr:rowOff>
    </xdr:to>
    <xdr:cxnSp macro="">
      <xdr:nvCxnSpPr>
        <xdr:cNvPr id="69" name="Straight Arrow Connector 68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CxnSpPr>
          <a:stCxn id="56" idx="2"/>
          <a:endCxn id="67" idx="0"/>
        </xdr:cNvCxnSpPr>
      </xdr:nvCxnSpPr>
      <xdr:spPr>
        <a:xfrm>
          <a:off x="5603079" y="8070082"/>
          <a:ext cx="3337" cy="297632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792953</xdr:colOff>
      <xdr:row>30</xdr:row>
      <xdr:rowOff>288610</xdr:rowOff>
    </xdr:from>
    <xdr:to>
      <xdr:col>5</xdr:col>
      <xdr:colOff>796291</xdr:colOff>
      <xdr:row>31</xdr:row>
      <xdr:rowOff>206005</xdr:rowOff>
    </xdr:to>
    <xdr:cxnSp macro="">
      <xdr:nvCxnSpPr>
        <xdr:cNvPr id="70" name="Straight Arrow Connector 6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CxnSpPr>
          <a:stCxn id="67" idx="2"/>
          <a:endCxn id="61" idx="0"/>
        </xdr:cNvCxnSpPr>
      </xdr:nvCxnSpPr>
      <xdr:spPr>
        <a:xfrm flipH="1">
          <a:off x="5603078" y="8642035"/>
          <a:ext cx="3338" cy="222195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789619</xdr:colOff>
      <xdr:row>33</xdr:row>
      <xdr:rowOff>108391</xdr:rowOff>
    </xdr:from>
    <xdr:to>
      <xdr:col>5</xdr:col>
      <xdr:colOff>792953</xdr:colOff>
      <xdr:row>33</xdr:row>
      <xdr:rowOff>307179</xdr:rowOff>
    </xdr:to>
    <xdr:cxnSp macro="">
      <xdr:nvCxnSpPr>
        <xdr:cNvPr id="71" name="Straight Arrow Connector 70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CxnSpPr>
          <a:stCxn id="61" idx="2"/>
          <a:endCxn id="26" idx="0"/>
        </xdr:cNvCxnSpPr>
      </xdr:nvCxnSpPr>
      <xdr:spPr>
        <a:xfrm flipH="1">
          <a:off x="5599744" y="9376216"/>
          <a:ext cx="3334" cy="198788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1082513</xdr:colOff>
      <xdr:row>28</xdr:row>
      <xdr:rowOff>211925</xdr:rowOff>
    </xdr:from>
    <xdr:to>
      <xdr:col>9</xdr:col>
      <xdr:colOff>47621</xdr:colOff>
      <xdr:row>29</xdr:row>
      <xdr:rowOff>176682</xdr:rowOff>
    </xdr:to>
    <xdr:sp macro="" textlink="">
      <xdr:nvSpPr>
        <xdr:cNvPr id="73" name="Flowchart: Process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SpPr/>
      </xdr:nvSpPr>
      <xdr:spPr>
        <a:xfrm>
          <a:off x="10636088" y="7955750"/>
          <a:ext cx="546258" cy="269557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C00000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ไม่ผ่าน</a:t>
          </a:r>
        </a:p>
      </xdr:txBody>
    </xdr:sp>
    <xdr:clientData/>
  </xdr:twoCellAnchor>
  <xdr:twoCellAnchor>
    <xdr:from>
      <xdr:col>8</xdr:col>
      <xdr:colOff>687228</xdr:colOff>
      <xdr:row>29</xdr:row>
      <xdr:rowOff>111914</xdr:rowOff>
    </xdr:from>
    <xdr:to>
      <xdr:col>8</xdr:col>
      <xdr:colOff>1144428</xdr:colOff>
      <xdr:row>30</xdr:row>
      <xdr:rowOff>76671</xdr:rowOff>
    </xdr:to>
    <xdr:sp macro="" textlink="">
      <xdr:nvSpPr>
        <xdr:cNvPr id="74" name="Flowchart: Process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0240803" y="8160539"/>
          <a:ext cx="457200" cy="269557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0000FF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ผ่าน</a:t>
          </a:r>
        </a:p>
      </xdr:txBody>
    </xdr:sp>
    <xdr:clientData/>
  </xdr:twoCellAnchor>
  <xdr:twoCellAnchor>
    <xdr:from>
      <xdr:col>5</xdr:col>
      <xdr:colOff>157164</xdr:colOff>
      <xdr:row>12</xdr:row>
      <xdr:rowOff>244072</xdr:rowOff>
    </xdr:from>
    <xdr:to>
      <xdr:col>5</xdr:col>
      <xdr:colOff>1437324</xdr:colOff>
      <xdr:row>13</xdr:row>
      <xdr:rowOff>208829</xdr:rowOff>
    </xdr:to>
    <xdr:sp macro="" textlink="">
      <xdr:nvSpPr>
        <xdr:cNvPr id="75" name="Flowchart: Process 74">
          <a:extLs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SpPr/>
      </xdr:nvSpPr>
      <xdr:spPr>
        <a:xfrm>
          <a:off x="4967289" y="3111097"/>
          <a:ext cx="1280160" cy="269557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chemeClr val="tx2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วิเคราะห์อาการเสีย</a:t>
          </a:r>
        </a:p>
      </xdr:txBody>
    </xdr:sp>
    <xdr:clientData/>
  </xdr:twoCellAnchor>
  <xdr:twoCellAnchor>
    <xdr:from>
      <xdr:col>5</xdr:col>
      <xdr:colOff>795818</xdr:colOff>
      <xdr:row>12</xdr:row>
      <xdr:rowOff>26672</xdr:rowOff>
    </xdr:from>
    <xdr:to>
      <xdr:col>5</xdr:col>
      <xdr:colOff>797244</xdr:colOff>
      <xdr:row>12</xdr:row>
      <xdr:rowOff>244072</xdr:rowOff>
    </xdr:to>
    <xdr:cxnSp macro="">
      <xdr:nvCxnSpPr>
        <xdr:cNvPr id="76" name="Straight Arrow Connector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CxnSpPr>
          <a:stCxn id="3" idx="2"/>
          <a:endCxn id="75" idx="0"/>
        </xdr:cNvCxnSpPr>
      </xdr:nvCxnSpPr>
      <xdr:spPr>
        <a:xfrm>
          <a:off x="5605943" y="2893697"/>
          <a:ext cx="1426" cy="217400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797244</xdr:colOff>
      <xdr:row>13</xdr:row>
      <xdr:rowOff>208829</xdr:rowOff>
    </xdr:from>
    <xdr:to>
      <xdr:col>5</xdr:col>
      <xdr:colOff>799625</xdr:colOff>
      <xdr:row>14</xdr:row>
      <xdr:rowOff>166691</xdr:rowOff>
    </xdr:to>
    <xdr:cxnSp macro="">
      <xdr:nvCxnSpPr>
        <xdr:cNvPr id="77" name="Straight Arrow Connector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CxnSpPr>
          <a:stCxn id="75" idx="2"/>
          <a:endCxn id="8" idx="0"/>
        </xdr:cNvCxnSpPr>
      </xdr:nvCxnSpPr>
      <xdr:spPr>
        <a:xfrm>
          <a:off x="5607369" y="3380654"/>
          <a:ext cx="2381" cy="262662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1227774</xdr:colOff>
      <xdr:row>18</xdr:row>
      <xdr:rowOff>200021</xdr:rowOff>
    </xdr:from>
    <xdr:to>
      <xdr:col>7</xdr:col>
      <xdr:colOff>375764</xdr:colOff>
      <xdr:row>19</xdr:row>
      <xdr:rowOff>164780</xdr:rowOff>
    </xdr:to>
    <xdr:sp macro="" textlink="">
      <xdr:nvSpPr>
        <xdr:cNvPr id="78" name="Flowchart: Process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/>
      </xdr:nvSpPr>
      <xdr:spPr>
        <a:xfrm>
          <a:off x="7619049" y="4895846"/>
          <a:ext cx="729140" cy="269559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0000FF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อนุมัติ</a:t>
          </a:r>
        </a:p>
      </xdr:txBody>
    </xdr:sp>
    <xdr:clientData/>
  </xdr:twoCellAnchor>
  <xdr:twoCellAnchor>
    <xdr:from>
      <xdr:col>6</xdr:col>
      <xdr:colOff>1225395</xdr:colOff>
      <xdr:row>22</xdr:row>
      <xdr:rowOff>221445</xdr:rowOff>
    </xdr:from>
    <xdr:to>
      <xdr:col>7</xdr:col>
      <xdr:colOff>373385</xdr:colOff>
      <xdr:row>23</xdr:row>
      <xdr:rowOff>186204</xdr:rowOff>
    </xdr:to>
    <xdr:sp macro="" textlink="">
      <xdr:nvSpPr>
        <xdr:cNvPr id="79" name="Flowchart: Process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/>
      </xdr:nvSpPr>
      <xdr:spPr>
        <a:xfrm>
          <a:off x="7616670" y="6136470"/>
          <a:ext cx="729140" cy="269559"/>
        </a:xfrm>
        <a:prstGeom prst="flowChartProcess">
          <a:avLst/>
        </a:prstGeom>
        <a:noFill/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th-TH" sz="1600">
              <a:solidFill>
                <a:srgbClr val="0000FF"/>
              </a:solidFill>
              <a:latin typeface="TH SarabunPSK" panose="020B0500040200020003" pitchFamily="34" charset="-34"/>
              <a:cs typeface="TH SarabunPSK" panose="020B0500040200020003" pitchFamily="34" charset="-34"/>
            </a:rPr>
            <a:t>อนุมัติ</a:t>
          </a:r>
        </a:p>
      </xdr:txBody>
    </xdr:sp>
    <xdr:clientData/>
  </xdr:twoCellAnchor>
  <xdr:twoCellAnchor>
    <xdr:from>
      <xdr:col>9</xdr:col>
      <xdr:colOff>234553</xdr:colOff>
      <xdr:row>33</xdr:row>
      <xdr:rowOff>54768</xdr:rowOff>
    </xdr:from>
    <xdr:to>
      <xdr:col>9</xdr:col>
      <xdr:colOff>441724</xdr:colOff>
      <xdr:row>33</xdr:row>
      <xdr:rowOff>261938</xdr:rowOff>
    </xdr:to>
    <xdr:sp macro="" textlink="">
      <xdr:nvSpPr>
        <xdr:cNvPr id="80" name="Flowchart: Connector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/>
      </xdr:nvSpPr>
      <xdr:spPr>
        <a:xfrm>
          <a:off x="11369278" y="9322593"/>
          <a:ext cx="207171" cy="207170"/>
        </a:xfrm>
        <a:prstGeom prst="flowChartConnector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142398</xdr:colOff>
      <xdr:row>36</xdr:row>
      <xdr:rowOff>142874</xdr:rowOff>
    </xdr:from>
    <xdr:to>
      <xdr:col>9</xdr:col>
      <xdr:colOff>533879</xdr:colOff>
      <xdr:row>36</xdr:row>
      <xdr:rowOff>142874</xdr:rowOff>
    </xdr:to>
    <xdr:cxnSp macro="">
      <xdr:nvCxnSpPr>
        <xdr:cNvPr id="81" name="Straight Arrow Connector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CxnSpPr/>
      </xdr:nvCxnSpPr>
      <xdr:spPr>
        <a:xfrm>
          <a:off x="11277123" y="10325099"/>
          <a:ext cx="391481" cy="0"/>
        </a:xfrm>
        <a:prstGeom prst="straightConnector1">
          <a:avLst/>
        </a:prstGeom>
        <a:ln>
          <a:solidFill>
            <a:srgbClr val="FF0000"/>
          </a:solidFill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170265</xdr:colOff>
      <xdr:row>34</xdr:row>
      <xdr:rowOff>297656</xdr:rowOff>
    </xdr:from>
    <xdr:to>
      <xdr:col>9</xdr:col>
      <xdr:colOff>506012</xdr:colOff>
      <xdr:row>35</xdr:row>
      <xdr:rowOff>200017</xdr:rowOff>
    </xdr:to>
    <xdr:sp macro="" textlink="">
      <xdr:nvSpPr>
        <xdr:cNvPr id="82" name="Flowchart: Decision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/>
      </xdr:nvSpPr>
      <xdr:spPr>
        <a:xfrm>
          <a:off x="11304990" y="9870281"/>
          <a:ext cx="335747" cy="207161"/>
        </a:xfrm>
        <a:prstGeom prst="flowChartDecision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th-TH" sz="1600">
            <a:solidFill>
              <a:schemeClr val="tx2"/>
            </a:solidFill>
            <a:latin typeface="TH SarabunPSK" panose="020B0500040200020003" pitchFamily="34" charset="-34"/>
            <a:cs typeface="TH SarabunPSK" panose="020B0500040200020003" pitchFamily="34" charset="-34"/>
          </a:endParaRPr>
        </a:p>
      </xdr:txBody>
    </xdr:sp>
    <xdr:clientData/>
  </xdr:twoCellAnchor>
  <xdr:twoCellAnchor>
    <xdr:from>
      <xdr:col>9</xdr:col>
      <xdr:colOff>164307</xdr:colOff>
      <xdr:row>34</xdr:row>
      <xdr:rowOff>38097</xdr:rowOff>
    </xdr:from>
    <xdr:to>
      <xdr:col>9</xdr:col>
      <xdr:colOff>511969</xdr:colOff>
      <xdr:row>34</xdr:row>
      <xdr:rowOff>226219</xdr:rowOff>
    </xdr:to>
    <xdr:sp macro="" textlink="">
      <xdr:nvSpPr>
        <xdr:cNvPr id="83" name="Flowchart: Process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/>
      </xdr:nvSpPr>
      <xdr:spPr>
        <a:xfrm>
          <a:off x="11299032" y="9610722"/>
          <a:ext cx="347662" cy="188122"/>
        </a:xfrm>
        <a:prstGeom prst="flowChartProcess">
          <a:avLst/>
        </a:prstGeom>
        <a:solidFill>
          <a:schemeClr val="accent1">
            <a:lumMod val="20000"/>
            <a:lumOff val="8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th-TH" sz="1600">
            <a:solidFill>
              <a:schemeClr val="tx2"/>
            </a:solidFill>
            <a:latin typeface="TH SarabunPSK" panose="020B0500040200020003" pitchFamily="34" charset="-34"/>
            <a:cs typeface="TH SarabunPSK" panose="020B0500040200020003" pitchFamily="34" charset="-34"/>
          </a:endParaRPr>
        </a:p>
      </xdr:txBody>
    </xdr:sp>
    <xdr:clientData/>
  </xdr:twoCellAnchor>
  <xdr:twoCellAnchor>
    <xdr:from>
      <xdr:col>2</xdr:col>
      <xdr:colOff>514350</xdr:colOff>
      <xdr:row>2</xdr:row>
      <xdr:rowOff>142875</xdr:rowOff>
    </xdr:from>
    <xdr:to>
      <xdr:col>3</xdr:col>
      <xdr:colOff>1211008</xdr:colOff>
      <xdr:row>3</xdr:row>
      <xdr:rowOff>145415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GrpSpPr>
          <a:grpSpLocks/>
        </xdr:cNvGrpSpPr>
      </xdr:nvGrpSpPr>
      <xdr:grpSpPr>
        <a:xfrm>
          <a:off x="633413" y="321469"/>
          <a:ext cx="1589626" cy="312102"/>
          <a:chOff x="0" y="0"/>
          <a:chExt cx="1620583" cy="269240"/>
        </a:xfrm>
      </xdr:grpSpPr>
      <xdr:sp macro="" textlink="">
        <xdr:nvSpPr>
          <xdr:cNvPr id="85" name="Graphic 2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/>
        </xdr:nvSpPr>
        <xdr:spPr>
          <a:xfrm>
            <a:off x="267474" y="0"/>
            <a:ext cx="273050" cy="269240"/>
          </a:xfrm>
          <a:custGeom>
            <a:avLst/>
            <a:gdLst/>
            <a:ahLst/>
            <a:cxnLst/>
            <a:rect l="l" t="t" r="r" b="b"/>
            <a:pathLst>
              <a:path w="273050" h="269240">
                <a:moveTo>
                  <a:pt x="136283" y="0"/>
                </a:moveTo>
                <a:lnTo>
                  <a:pt x="90396" y="6034"/>
                </a:lnTo>
                <a:lnTo>
                  <a:pt x="52633" y="23490"/>
                </a:lnTo>
                <a:lnTo>
                  <a:pt x="24186" y="51396"/>
                </a:lnTo>
                <a:lnTo>
                  <a:pt x="6245" y="88780"/>
                </a:lnTo>
                <a:lnTo>
                  <a:pt x="0" y="134670"/>
                </a:lnTo>
                <a:lnTo>
                  <a:pt x="6245" y="180528"/>
                </a:lnTo>
                <a:lnTo>
                  <a:pt x="24186" y="217833"/>
                </a:lnTo>
                <a:lnTo>
                  <a:pt x="52633" y="245645"/>
                </a:lnTo>
                <a:lnTo>
                  <a:pt x="90396" y="263022"/>
                </a:lnTo>
                <a:lnTo>
                  <a:pt x="136283" y="269024"/>
                </a:lnTo>
                <a:lnTo>
                  <a:pt x="182200" y="263022"/>
                </a:lnTo>
                <a:lnTo>
                  <a:pt x="219978" y="245645"/>
                </a:lnTo>
                <a:lnTo>
                  <a:pt x="232492" y="233413"/>
                </a:lnTo>
                <a:lnTo>
                  <a:pt x="136283" y="233413"/>
                </a:lnTo>
                <a:lnTo>
                  <a:pt x="111881" y="227407"/>
                </a:lnTo>
                <a:lnTo>
                  <a:pt x="94799" y="209169"/>
                </a:lnTo>
                <a:lnTo>
                  <a:pt x="84755" y="178367"/>
                </a:lnTo>
                <a:lnTo>
                  <a:pt x="81470" y="134670"/>
                </a:lnTo>
                <a:lnTo>
                  <a:pt x="84755" y="90940"/>
                </a:lnTo>
                <a:lnTo>
                  <a:pt x="94799" y="60013"/>
                </a:lnTo>
                <a:lnTo>
                  <a:pt x="111881" y="41641"/>
                </a:lnTo>
                <a:lnTo>
                  <a:pt x="136283" y="35572"/>
                </a:lnTo>
                <a:lnTo>
                  <a:pt x="232297" y="35572"/>
                </a:lnTo>
                <a:lnTo>
                  <a:pt x="219978" y="23490"/>
                </a:lnTo>
                <a:lnTo>
                  <a:pt x="182200" y="6034"/>
                </a:lnTo>
                <a:lnTo>
                  <a:pt x="136283" y="0"/>
                </a:lnTo>
                <a:close/>
              </a:path>
              <a:path w="273050" h="269240">
                <a:moveTo>
                  <a:pt x="232297" y="35572"/>
                </a:moveTo>
                <a:lnTo>
                  <a:pt x="136283" y="35572"/>
                </a:lnTo>
                <a:lnTo>
                  <a:pt x="160693" y="41641"/>
                </a:lnTo>
                <a:lnTo>
                  <a:pt x="177793" y="60013"/>
                </a:lnTo>
                <a:lnTo>
                  <a:pt x="187854" y="90940"/>
                </a:lnTo>
                <a:lnTo>
                  <a:pt x="191147" y="134670"/>
                </a:lnTo>
                <a:lnTo>
                  <a:pt x="187854" y="178367"/>
                </a:lnTo>
                <a:lnTo>
                  <a:pt x="177793" y="209169"/>
                </a:lnTo>
                <a:lnTo>
                  <a:pt x="160693" y="227407"/>
                </a:lnTo>
                <a:lnTo>
                  <a:pt x="136283" y="233413"/>
                </a:lnTo>
                <a:lnTo>
                  <a:pt x="232492" y="233413"/>
                </a:lnTo>
                <a:lnTo>
                  <a:pt x="248432" y="217833"/>
                </a:lnTo>
                <a:lnTo>
                  <a:pt x="266373" y="180528"/>
                </a:lnTo>
                <a:lnTo>
                  <a:pt x="272618" y="134670"/>
                </a:lnTo>
                <a:lnTo>
                  <a:pt x="266373" y="88780"/>
                </a:lnTo>
                <a:lnTo>
                  <a:pt x="248432" y="51396"/>
                </a:lnTo>
                <a:lnTo>
                  <a:pt x="232297" y="35572"/>
                </a:lnTo>
                <a:close/>
              </a:path>
            </a:pathLst>
          </a:custGeom>
          <a:solidFill>
            <a:srgbClr val="0063A6"/>
          </a:solidFill>
        </xdr:spPr>
        <xdr:txBody>
          <a:bodyPr wrap="square" lIns="0" tIns="0" rIns="0" bIns="0" rtlCol="0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pic>
        <xdr:nvPicPr>
          <xdr:cNvPr id="86" name="Image 3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PicPr/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0" y="10096"/>
            <a:ext cx="249173" cy="248831"/>
          </a:xfrm>
          <a:prstGeom prst="rect">
            <a:avLst/>
          </a:prstGeom>
        </xdr:spPr>
      </xdr:pic>
      <xdr:sp macro="" textlink="">
        <xdr:nvSpPr>
          <xdr:cNvPr id="87" name="Graphic 4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/>
        </xdr:nvSpPr>
        <xdr:spPr>
          <a:xfrm>
            <a:off x="550608" y="10007"/>
            <a:ext cx="1069975" cy="249554"/>
          </a:xfrm>
          <a:custGeom>
            <a:avLst/>
            <a:gdLst/>
            <a:ahLst/>
            <a:cxnLst/>
            <a:rect l="l" t="t" r="r" b="b"/>
            <a:pathLst>
              <a:path w="1069975" h="249554">
                <a:moveTo>
                  <a:pt x="255536" y="70751"/>
                </a:moveTo>
                <a:lnTo>
                  <a:pt x="248869" y="37985"/>
                </a:lnTo>
                <a:lnTo>
                  <a:pt x="229603" y="16103"/>
                </a:lnTo>
                <a:lnTo>
                  <a:pt x="198793" y="3886"/>
                </a:lnTo>
                <a:lnTo>
                  <a:pt x="184873" y="2603"/>
                </a:lnTo>
                <a:lnTo>
                  <a:pt x="184873" y="71069"/>
                </a:lnTo>
                <a:lnTo>
                  <a:pt x="181698" y="86791"/>
                </a:lnTo>
                <a:lnTo>
                  <a:pt x="172758" y="98615"/>
                </a:lnTo>
                <a:lnTo>
                  <a:pt x="158877" y="106057"/>
                </a:lnTo>
                <a:lnTo>
                  <a:pt x="140893" y="108648"/>
                </a:lnTo>
                <a:lnTo>
                  <a:pt x="108597" y="108648"/>
                </a:lnTo>
                <a:lnTo>
                  <a:pt x="108597" y="33134"/>
                </a:lnTo>
                <a:lnTo>
                  <a:pt x="146900" y="33134"/>
                </a:lnTo>
                <a:lnTo>
                  <a:pt x="161709" y="35788"/>
                </a:lnTo>
                <a:lnTo>
                  <a:pt x="173774" y="43383"/>
                </a:lnTo>
                <a:lnTo>
                  <a:pt x="181889" y="55321"/>
                </a:lnTo>
                <a:lnTo>
                  <a:pt x="184810" y="70751"/>
                </a:lnTo>
                <a:lnTo>
                  <a:pt x="184873" y="71069"/>
                </a:lnTo>
                <a:lnTo>
                  <a:pt x="184873" y="2603"/>
                </a:lnTo>
                <a:lnTo>
                  <a:pt x="157492" y="76"/>
                </a:lnTo>
                <a:lnTo>
                  <a:pt x="0" y="76"/>
                </a:lnTo>
                <a:lnTo>
                  <a:pt x="0" y="33134"/>
                </a:lnTo>
                <a:lnTo>
                  <a:pt x="32689" y="33134"/>
                </a:lnTo>
                <a:lnTo>
                  <a:pt x="37960" y="38773"/>
                </a:lnTo>
                <a:lnTo>
                  <a:pt x="37960" y="210477"/>
                </a:lnTo>
                <a:lnTo>
                  <a:pt x="32689" y="216103"/>
                </a:lnTo>
                <a:lnTo>
                  <a:pt x="381" y="216103"/>
                </a:lnTo>
                <a:lnTo>
                  <a:pt x="381" y="249212"/>
                </a:lnTo>
                <a:lnTo>
                  <a:pt x="148437" y="249212"/>
                </a:lnTo>
                <a:lnTo>
                  <a:pt x="148437" y="216103"/>
                </a:lnTo>
                <a:lnTo>
                  <a:pt x="113893" y="216103"/>
                </a:lnTo>
                <a:lnTo>
                  <a:pt x="108597" y="210477"/>
                </a:lnTo>
                <a:lnTo>
                  <a:pt x="108597" y="141744"/>
                </a:lnTo>
                <a:lnTo>
                  <a:pt x="149936" y="141744"/>
                </a:lnTo>
                <a:lnTo>
                  <a:pt x="195605" y="137896"/>
                </a:lnTo>
                <a:lnTo>
                  <a:pt x="228663" y="125552"/>
                </a:lnTo>
                <a:lnTo>
                  <a:pt x="244094" y="108648"/>
                </a:lnTo>
                <a:lnTo>
                  <a:pt x="248754" y="103555"/>
                </a:lnTo>
                <a:lnTo>
                  <a:pt x="255460" y="71069"/>
                </a:lnTo>
                <a:lnTo>
                  <a:pt x="255536" y="70751"/>
                </a:lnTo>
                <a:close/>
              </a:path>
              <a:path w="1069975" h="249554">
                <a:moveTo>
                  <a:pt x="522947" y="70827"/>
                </a:moveTo>
                <a:lnTo>
                  <a:pt x="516280" y="38074"/>
                </a:lnTo>
                <a:lnTo>
                  <a:pt x="497001" y="16192"/>
                </a:lnTo>
                <a:lnTo>
                  <a:pt x="466178" y="3962"/>
                </a:lnTo>
                <a:lnTo>
                  <a:pt x="452272" y="2692"/>
                </a:lnTo>
                <a:lnTo>
                  <a:pt x="452272" y="71145"/>
                </a:lnTo>
                <a:lnTo>
                  <a:pt x="449097" y="86868"/>
                </a:lnTo>
                <a:lnTo>
                  <a:pt x="440143" y="98691"/>
                </a:lnTo>
                <a:lnTo>
                  <a:pt x="426262" y="106146"/>
                </a:lnTo>
                <a:lnTo>
                  <a:pt x="408305" y="108737"/>
                </a:lnTo>
                <a:lnTo>
                  <a:pt x="375983" y="108737"/>
                </a:lnTo>
                <a:lnTo>
                  <a:pt x="375983" y="33223"/>
                </a:lnTo>
                <a:lnTo>
                  <a:pt x="414299" y="33223"/>
                </a:lnTo>
                <a:lnTo>
                  <a:pt x="429107" y="35877"/>
                </a:lnTo>
                <a:lnTo>
                  <a:pt x="441172" y="43459"/>
                </a:lnTo>
                <a:lnTo>
                  <a:pt x="449287" y="55410"/>
                </a:lnTo>
                <a:lnTo>
                  <a:pt x="452208" y="70827"/>
                </a:lnTo>
                <a:lnTo>
                  <a:pt x="452272" y="71145"/>
                </a:lnTo>
                <a:lnTo>
                  <a:pt x="452272" y="2692"/>
                </a:lnTo>
                <a:lnTo>
                  <a:pt x="424865" y="152"/>
                </a:lnTo>
                <a:lnTo>
                  <a:pt x="267398" y="152"/>
                </a:lnTo>
                <a:lnTo>
                  <a:pt x="267398" y="33223"/>
                </a:lnTo>
                <a:lnTo>
                  <a:pt x="300088" y="33223"/>
                </a:lnTo>
                <a:lnTo>
                  <a:pt x="305346" y="38849"/>
                </a:lnTo>
                <a:lnTo>
                  <a:pt x="305346" y="210553"/>
                </a:lnTo>
                <a:lnTo>
                  <a:pt x="300088" y="216192"/>
                </a:lnTo>
                <a:lnTo>
                  <a:pt x="267766" y="216192"/>
                </a:lnTo>
                <a:lnTo>
                  <a:pt x="267766" y="249301"/>
                </a:lnTo>
                <a:lnTo>
                  <a:pt x="415836" y="249301"/>
                </a:lnTo>
                <a:lnTo>
                  <a:pt x="415836" y="216192"/>
                </a:lnTo>
                <a:lnTo>
                  <a:pt x="381292" y="216192"/>
                </a:lnTo>
                <a:lnTo>
                  <a:pt x="375983" y="210553"/>
                </a:lnTo>
                <a:lnTo>
                  <a:pt x="375983" y="141833"/>
                </a:lnTo>
                <a:lnTo>
                  <a:pt x="417334" y="141833"/>
                </a:lnTo>
                <a:lnTo>
                  <a:pt x="463003" y="137985"/>
                </a:lnTo>
                <a:lnTo>
                  <a:pt x="496062" y="125628"/>
                </a:lnTo>
                <a:lnTo>
                  <a:pt x="511492" y="108737"/>
                </a:lnTo>
                <a:lnTo>
                  <a:pt x="516166" y="103632"/>
                </a:lnTo>
                <a:lnTo>
                  <a:pt x="522871" y="71145"/>
                </a:lnTo>
                <a:lnTo>
                  <a:pt x="522947" y="70827"/>
                </a:lnTo>
                <a:close/>
              </a:path>
              <a:path w="1069975" h="249554">
                <a:moveTo>
                  <a:pt x="756069" y="215823"/>
                </a:moveTo>
                <a:lnTo>
                  <a:pt x="746848" y="215823"/>
                </a:lnTo>
                <a:lnTo>
                  <a:pt x="738847" y="214718"/>
                </a:lnTo>
                <a:lnTo>
                  <a:pt x="738428" y="214718"/>
                </a:lnTo>
                <a:lnTo>
                  <a:pt x="715302" y="169684"/>
                </a:lnTo>
                <a:lnTo>
                  <a:pt x="679450" y="55956"/>
                </a:lnTo>
                <a:lnTo>
                  <a:pt x="661822" y="0"/>
                </a:lnTo>
                <a:lnTo>
                  <a:pt x="633488" y="0"/>
                </a:lnTo>
                <a:lnTo>
                  <a:pt x="633488" y="136652"/>
                </a:lnTo>
                <a:lnTo>
                  <a:pt x="582637" y="136652"/>
                </a:lnTo>
                <a:lnTo>
                  <a:pt x="609295" y="55956"/>
                </a:lnTo>
                <a:lnTo>
                  <a:pt x="610057" y="55956"/>
                </a:lnTo>
                <a:lnTo>
                  <a:pt x="633488" y="136652"/>
                </a:lnTo>
                <a:lnTo>
                  <a:pt x="633488" y="0"/>
                </a:lnTo>
                <a:lnTo>
                  <a:pt x="586803" y="0"/>
                </a:lnTo>
                <a:lnTo>
                  <a:pt x="524090" y="187680"/>
                </a:lnTo>
                <a:lnTo>
                  <a:pt x="518731" y="201739"/>
                </a:lnTo>
                <a:lnTo>
                  <a:pt x="513270" y="210337"/>
                </a:lnTo>
                <a:lnTo>
                  <a:pt x="506615" y="214718"/>
                </a:lnTo>
                <a:lnTo>
                  <a:pt x="506196" y="214718"/>
                </a:lnTo>
                <a:lnTo>
                  <a:pt x="498182" y="215823"/>
                </a:lnTo>
                <a:lnTo>
                  <a:pt x="485419" y="215823"/>
                </a:lnTo>
                <a:lnTo>
                  <a:pt x="485419" y="248894"/>
                </a:lnTo>
                <a:lnTo>
                  <a:pt x="595757" y="248894"/>
                </a:lnTo>
                <a:lnTo>
                  <a:pt x="595757" y="215823"/>
                </a:lnTo>
                <a:lnTo>
                  <a:pt x="574738" y="215823"/>
                </a:lnTo>
                <a:lnTo>
                  <a:pt x="561632" y="214718"/>
                </a:lnTo>
                <a:lnTo>
                  <a:pt x="561632" y="203454"/>
                </a:lnTo>
                <a:lnTo>
                  <a:pt x="563105" y="197840"/>
                </a:lnTo>
                <a:lnTo>
                  <a:pt x="567270" y="184708"/>
                </a:lnTo>
                <a:lnTo>
                  <a:pt x="571766" y="169684"/>
                </a:lnTo>
                <a:lnTo>
                  <a:pt x="644740" y="169684"/>
                </a:lnTo>
                <a:lnTo>
                  <a:pt x="652665" y="196710"/>
                </a:lnTo>
                <a:lnTo>
                  <a:pt x="654151" y="202349"/>
                </a:lnTo>
                <a:lnTo>
                  <a:pt x="654519" y="206476"/>
                </a:lnTo>
                <a:lnTo>
                  <a:pt x="654519" y="214337"/>
                </a:lnTo>
                <a:lnTo>
                  <a:pt x="645121" y="215823"/>
                </a:lnTo>
                <a:lnTo>
                  <a:pt x="622604" y="215823"/>
                </a:lnTo>
                <a:lnTo>
                  <a:pt x="622604" y="248894"/>
                </a:lnTo>
                <a:lnTo>
                  <a:pt x="756069" y="248894"/>
                </a:lnTo>
                <a:lnTo>
                  <a:pt x="756069" y="215823"/>
                </a:lnTo>
                <a:close/>
              </a:path>
              <a:path w="1069975" h="249554">
                <a:moveTo>
                  <a:pt x="1069390" y="12"/>
                </a:moveTo>
                <a:lnTo>
                  <a:pt x="953731" y="12"/>
                </a:lnTo>
                <a:lnTo>
                  <a:pt x="953731" y="33058"/>
                </a:lnTo>
                <a:lnTo>
                  <a:pt x="986028" y="33058"/>
                </a:lnTo>
                <a:lnTo>
                  <a:pt x="991311" y="38696"/>
                </a:lnTo>
                <a:lnTo>
                  <a:pt x="991311" y="171665"/>
                </a:lnTo>
                <a:lnTo>
                  <a:pt x="990561" y="171665"/>
                </a:lnTo>
                <a:lnTo>
                  <a:pt x="893318" y="12"/>
                </a:lnTo>
                <a:lnTo>
                  <a:pt x="772350" y="12"/>
                </a:lnTo>
                <a:lnTo>
                  <a:pt x="772350" y="33058"/>
                </a:lnTo>
                <a:lnTo>
                  <a:pt x="805014" y="33058"/>
                </a:lnTo>
                <a:lnTo>
                  <a:pt x="810285" y="38696"/>
                </a:lnTo>
                <a:lnTo>
                  <a:pt x="810285" y="210337"/>
                </a:lnTo>
                <a:lnTo>
                  <a:pt x="805014" y="215963"/>
                </a:lnTo>
                <a:lnTo>
                  <a:pt x="772718" y="215963"/>
                </a:lnTo>
                <a:lnTo>
                  <a:pt x="772718" y="249072"/>
                </a:lnTo>
                <a:lnTo>
                  <a:pt x="888809" y="249072"/>
                </a:lnTo>
                <a:lnTo>
                  <a:pt x="888809" y="215963"/>
                </a:lnTo>
                <a:lnTo>
                  <a:pt x="856513" y="215963"/>
                </a:lnTo>
                <a:lnTo>
                  <a:pt x="851255" y="210337"/>
                </a:lnTo>
                <a:lnTo>
                  <a:pt x="851255" y="63868"/>
                </a:lnTo>
                <a:lnTo>
                  <a:pt x="851992" y="63868"/>
                </a:lnTo>
                <a:lnTo>
                  <a:pt x="956398" y="249072"/>
                </a:lnTo>
                <a:lnTo>
                  <a:pt x="1032256" y="249072"/>
                </a:lnTo>
                <a:lnTo>
                  <a:pt x="1032256" y="38696"/>
                </a:lnTo>
                <a:lnTo>
                  <a:pt x="1037488" y="33058"/>
                </a:lnTo>
                <a:lnTo>
                  <a:pt x="1069390" y="33058"/>
                </a:lnTo>
                <a:lnTo>
                  <a:pt x="1069390" y="12"/>
                </a:lnTo>
                <a:close/>
              </a:path>
            </a:pathLst>
          </a:custGeom>
          <a:solidFill>
            <a:srgbClr val="0063A6"/>
          </a:solidFill>
        </xdr:spPr>
        <xdr:txBody>
          <a:bodyPr wrap="square" lIns="0" tIns="0" rIns="0" bIns="0" rtlCol="0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Median">
      <a:dk1>
        <a:sysClr val="windowText" lastClr="000000"/>
      </a:dk1>
      <a:lt1>
        <a:sysClr val="window" lastClr="FFFFFF"/>
      </a:lt1>
      <a:dk2>
        <a:srgbClr val="775F55"/>
      </a:dk2>
      <a:lt2>
        <a:srgbClr val="EBDDC3"/>
      </a:lt2>
      <a:accent1>
        <a:srgbClr val="94B6D2"/>
      </a:accent1>
      <a:accent2>
        <a:srgbClr val="DD8047"/>
      </a:accent2>
      <a:accent3>
        <a:srgbClr val="A5AB81"/>
      </a:accent3>
      <a:accent4>
        <a:srgbClr val="D8B25C"/>
      </a:accent4>
      <a:accent5>
        <a:srgbClr val="7BA79D"/>
      </a:accent5>
      <a:accent6>
        <a:srgbClr val="968C8C"/>
      </a:accent6>
      <a:hlink>
        <a:srgbClr val="F7B615"/>
      </a:hlink>
      <a:folHlink>
        <a:srgbClr val="704404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 filterMode="1">
    <tabColor theme="8" tint="-0.249977111117893"/>
    <pageSetUpPr fitToPage="1"/>
  </sheetPr>
  <dimension ref="A1:AI362"/>
  <sheetViews>
    <sheetView showGridLines="0" showRowColHeaders="0" tabSelected="1" topLeftCell="P1" zoomScale="80" zoomScaleNormal="80" workbookViewId="0">
      <pane ySplit="10" topLeftCell="A71" activePane="bottomLeft" state="frozen"/>
      <selection pane="bottomLeft" activeCell="AD71" sqref="AD71"/>
    </sheetView>
  </sheetViews>
  <sheetFormatPr defaultColWidth="9" defaultRowHeight="18" customHeight="1"/>
  <cols>
    <col min="1" max="1" width="0.42578125" style="1" customWidth="1"/>
    <col min="2" max="2" width="2.42578125" style="1" customWidth="1"/>
    <col min="3" max="3" width="0.42578125" style="1" customWidth="1"/>
    <col min="4" max="4" width="8.42578125" style="9" customWidth="1"/>
    <col min="5" max="5" width="12.42578125" style="10" bestFit="1" customWidth="1"/>
    <col min="6" max="6" width="14.42578125" style="1" bestFit="1" customWidth="1"/>
    <col min="7" max="7" width="15.42578125" style="1" bestFit="1" customWidth="1"/>
    <col min="8" max="8" width="16.42578125" style="32" bestFit="1" customWidth="1"/>
    <col min="9" max="9" width="12.42578125" style="1" customWidth="1"/>
    <col min="10" max="10" width="12.42578125" style="145" customWidth="1"/>
    <col min="11" max="11" width="13.42578125" style="1" customWidth="1"/>
    <col min="12" max="12" width="15.42578125" style="1" bestFit="1" customWidth="1"/>
    <col min="13" max="13" width="20" style="1" bestFit="1" customWidth="1"/>
    <col min="14" max="14" width="18.42578125" style="32" customWidth="1"/>
    <col min="15" max="15" width="51.42578125" style="32" bestFit="1" customWidth="1"/>
    <col min="16" max="16" width="21.42578125" style="128" bestFit="1" customWidth="1"/>
    <col min="17" max="17" width="30.42578125" style="128" customWidth="1"/>
    <col min="18" max="18" width="18.42578125" style="129" bestFit="1" customWidth="1"/>
    <col min="19" max="19" width="24.42578125" style="130" bestFit="1" customWidth="1"/>
    <col min="20" max="20" width="19.42578125" style="130" bestFit="1" customWidth="1"/>
    <col min="21" max="21" width="10.42578125" style="218" bestFit="1" customWidth="1"/>
    <col min="22" max="22" width="24.42578125" style="130" bestFit="1" customWidth="1"/>
    <col min="23" max="23" width="18" style="130" bestFit="1" customWidth="1"/>
    <col min="24" max="24" width="11.42578125" style="130" customWidth="1"/>
    <col min="25" max="25" width="13.42578125" style="128" customWidth="1"/>
    <col min="26" max="26" width="10.42578125" style="134" bestFit="1" customWidth="1"/>
    <col min="27" max="27" width="10.42578125" style="136" bestFit="1" customWidth="1"/>
    <col min="28" max="28" width="11.42578125" style="134" bestFit="1" customWidth="1"/>
    <col min="29" max="29" width="11" style="136" customWidth="1"/>
    <col min="30" max="30" width="10.42578125" style="155" bestFit="1" customWidth="1"/>
    <col min="31" max="31" width="9.42578125" style="135" bestFit="1" customWidth="1"/>
    <col min="32" max="32" width="18" style="32" bestFit="1" customWidth="1"/>
    <col min="33" max="33" width="21.42578125" style="32" bestFit="1" customWidth="1"/>
    <col min="34" max="34" width="20.42578125" style="1" customWidth="1"/>
    <col min="35" max="35" width="1.42578125" style="1" customWidth="1"/>
    <col min="36" max="16384" width="9" style="42"/>
  </cols>
  <sheetData>
    <row r="1" spans="1:35" ht="10.15" customHeight="1">
      <c r="D1" s="2"/>
      <c r="E1" s="3"/>
      <c r="G1" s="53"/>
      <c r="H1" s="4"/>
      <c r="I1" s="5"/>
      <c r="J1" s="1"/>
      <c r="K1" s="4"/>
      <c r="L1" s="4"/>
      <c r="M1" s="4"/>
      <c r="N1" s="1"/>
      <c r="O1" s="4"/>
      <c r="P1" s="12"/>
      <c r="Q1" s="5"/>
      <c r="R1" s="1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1"/>
      <c r="AG1" s="5"/>
    </row>
    <row r="2" spans="1:35" ht="16.149999999999999" customHeight="1">
      <c r="D2" s="119" t="s">
        <v>149</v>
      </c>
      <c r="E2" s="46"/>
      <c r="F2" s="5"/>
      <c r="G2" s="46"/>
      <c r="H2" s="46"/>
      <c r="I2" s="254">
        <v>17</v>
      </c>
      <c r="J2" s="255" t="str">
        <f ca="1">IFERROR(VLOOKUP(I2,JOB_NO,2,0),0)</f>
        <v>EN-26-017</v>
      </c>
      <c r="K2" s="29"/>
      <c r="L2" s="29"/>
      <c r="M2" s="29"/>
      <c r="N2" s="33"/>
      <c r="O2" s="29"/>
      <c r="P2" s="51"/>
      <c r="Q2" s="29"/>
      <c r="R2" s="33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6"/>
    </row>
    <row r="3" spans="1:35" ht="16.149999999999999" customHeight="1">
      <c r="D3" s="46" t="s">
        <v>286</v>
      </c>
      <c r="E3" s="46"/>
      <c r="F3" s="5"/>
      <c r="G3" s="46"/>
      <c r="H3" s="46"/>
      <c r="I3" s="254"/>
      <c r="J3" s="255"/>
      <c r="K3" s="29"/>
      <c r="L3" s="29"/>
      <c r="M3" s="29"/>
      <c r="N3" s="33"/>
      <c r="O3" s="29"/>
      <c r="P3" s="51"/>
      <c r="Q3" s="29"/>
      <c r="R3" s="33" t="s">
        <v>380</v>
      </c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6"/>
    </row>
    <row r="4" spans="1:35" s="43" customFormat="1" ht="16.149999999999999" customHeight="1">
      <c r="A4" s="25"/>
      <c r="B4" s="249" t="s">
        <v>371</v>
      </c>
      <c r="C4" s="25"/>
      <c r="D4" s="253" t="s">
        <v>1</v>
      </c>
      <c r="E4" s="253"/>
      <c r="F4" s="41" t="s">
        <v>385</v>
      </c>
      <c r="G4" s="120" t="str">
        <f>COUNTA(D:D)-6&amp;"  ITEMS"</f>
        <v>302  ITEMS</v>
      </c>
      <c r="H4" s="28"/>
      <c r="I4" s="31" t="s">
        <v>0</v>
      </c>
      <c r="J4" s="31" t="s">
        <v>2</v>
      </c>
      <c r="K4" s="28"/>
      <c r="L4" s="28"/>
      <c r="M4" s="28"/>
      <c r="N4" s="30"/>
      <c r="O4" s="28"/>
      <c r="P4" s="52"/>
      <c r="Q4" s="28"/>
      <c r="R4" s="30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7" t="s">
        <v>383</v>
      </c>
      <c r="AI4" s="27"/>
    </row>
    <row r="5" spans="1:35" ht="4.9000000000000004" customHeight="1">
      <c r="B5" s="249"/>
      <c r="D5" s="2"/>
      <c r="E5" s="5"/>
      <c r="G5" s="5"/>
      <c r="H5" s="5"/>
      <c r="I5" s="5"/>
      <c r="J5" s="1"/>
      <c r="K5" s="5"/>
      <c r="L5" s="5"/>
      <c r="M5" s="5"/>
      <c r="N5" s="1"/>
      <c r="O5" s="5"/>
      <c r="P5" s="5"/>
      <c r="Q5" s="5"/>
      <c r="R5" s="1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1"/>
      <c r="AG5" s="5"/>
    </row>
    <row r="6" spans="1:35" ht="25.15" customHeight="1">
      <c r="B6" s="249"/>
      <c r="D6" s="251" t="s">
        <v>384</v>
      </c>
      <c r="E6" s="252"/>
      <c r="F6" s="252"/>
      <c r="G6" s="252"/>
      <c r="H6" s="252"/>
      <c r="I6" s="250" t="s">
        <v>285</v>
      </c>
      <c r="J6" s="250"/>
      <c r="K6" s="250"/>
      <c r="L6" s="250"/>
      <c r="M6" s="250"/>
      <c r="N6" s="250"/>
      <c r="O6" s="250"/>
      <c r="P6" s="250"/>
      <c r="Q6" s="250"/>
      <c r="R6" s="250"/>
      <c r="S6" s="250"/>
      <c r="T6" s="250"/>
      <c r="U6" s="250"/>
      <c r="V6" s="250"/>
      <c r="W6" s="250"/>
      <c r="X6" s="250"/>
      <c r="Y6" s="250"/>
      <c r="Z6" s="250"/>
      <c r="AA6" s="250"/>
      <c r="AB6" s="250"/>
      <c r="AC6" s="250"/>
      <c r="AD6" s="250"/>
      <c r="AE6" s="250"/>
      <c r="AF6" s="213" t="s">
        <v>3</v>
      </c>
      <c r="AG6" s="199">
        <f ca="1">TODAY()</f>
        <v>46212</v>
      </c>
      <c r="AH6" s="40">
        <f ca="1">NOW()</f>
        <v>46212.89208020833</v>
      </c>
    </row>
    <row r="7" spans="1:35" ht="4.1500000000000004" customHeight="1">
      <c r="B7" s="249"/>
      <c r="D7" s="11"/>
      <c r="E7" s="5"/>
      <c r="G7" s="5"/>
      <c r="H7" s="5"/>
      <c r="I7" s="5"/>
      <c r="J7" s="1"/>
      <c r="K7" s="5"/>
      <c r="L7" s="5"/>
      <c r="M7" s="5"/>
      <c r="N7" s="1"/>
      <c r="O7" s="5"/>
      <c r="P7" s="5"/>
      <c r="Q7" s="5"/>
      <c r="R7" s="1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1"/>
      <c r="AG7" s="5"/>
    </row>
    <row r="8" spans="1:35" s="44" customFormat="1" ht="15" customHeight="1">
      <c r="A8" s="5"/>
      <c r="B8" s="249"/>
      <c r="C8" s="5"/>
      <c r="D8" s="37" t="s">
        <v>0</v>
      </c>
      <c r="E8" s="21" t="s">
        <v>9</v>
      </c>
      <c r="F8" s="23" t="s">
        <v>151</v>
      </c>
      <c r="G8" s="22" t="s">
        <v>147</v>
      </c>
      <c r="H8" s="22" t="s">
        <v>148</v>
      </c>
      <c r="I8" s="22" t="s">
        <v>10</v>
      </c>
      <c r="J8" s="22" t="s">
        <v>14</v>
      </c>
      <c r="K8" s="49" t="s">
        <v>145</v>
      </c>
      <c r="L8" s="49" t="s">
        <v>20</v>
      </c>
      <c r="M8" s="49" t="s">
        <v>21</v>
      </c>
      <c r="N8" s="22" t="s">
        <v>16</v>
      </c>
      <c r="O8" s="49" t="s">
        <v>150</v>
      </c>
      <c r="P8" s="49" t="s">
        <v>245</v>
      </c>
      <c r="Q8" s="49" t="s">
        <v>246</v>
      </c>
      <c r="R8" s="24" t="s">
        <v>244</v>
      </c>
      <c r="S8" s="24" t="s">
        <v>266</v>
      </c>
      <c r="T8" s="24" t="s">
        <v>257</v>
      </c>
      <c r="U8" s="24" t="s">
        <v>256</v>
      </c>
      <c r="V8" s="24" t="s">
        <v>247</v>
      </c>
      <c r="W8" s="24" t="s">
        <v>268</v>
      </c>
      <c r="X8" s="24" t="s">
        <v>262</v>
      </c>
      <c r="Y8" s="24" t="s">
        <v>248</v>
      </c>
      <c r="Z8" s="23" t="s">
        <v>249</v>
      </c>
      <c r="AA8" s="23" t="s">
        <v>250</v>
      </c>
      <c r="AB8" s="23" t="s">
        <v>251</v>
      </c>
      <c r="AC8" s="23" t="s">
        <v>252</v>
      </c>
      <c r="AD8" s="23" t="s">
        <v>253</v>
      </c>
      <c r="AE8" s="23" t="s">
        <v>254</v>
      </c>
      <c r="AF8" s="23" t="s">
        <v>255</v>
      </c>
      <c r="AG8" s="23" t="s">
        <v>8</v>
      </c>
      <c r="AH8" s="34" t="s">
        <v>4</v>
      </c>
      <c r="AI8" s="5"/>
    </row>
    <row r="9" spans="1:35" ht="1.9" customHeight="1">
      <c r="B9" s="249"/>
      <c r="D9" s="38"/>
      <c r="E9" s="7"/>
      <c r="F9" s="5"/>
      <c r="G9" s="12"/>
      <c r="H9" s="7"/>
      <c r="I9" s="12"/>
      <c r="J9" s="12"/>
      <c r="K9" s="12"/>
      <c r="L9" s="12"/>
      <c r="M9" s="12"/>
      <c r="N9" s="12"/>
      <c r="O9" s="12"/>
      <c r="P9" s="12"/>
      <c r="Q9" s="12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35"/>
    </row>
    <row r="10" spans="1:35" s="45" customFormat="1" ht="15" customHeight="1">
      <c r="A10" s="8"/>
      <c r="B10" s="249"/>
      <c r="C10" s="8"/>
      <c r="D10" s="39" t="s">
        <v>5</v>
      </c>
      <c r="E10" s="17" t="s">
        <v>11</v>
      </c>
      <c r="F10" s="20" t="s">
        <v>283</v>
      </c>
      <c r="G10" s="18" t="s">
        <v>13</v>
      </c>
      <c r="H10" s="19" t="s">
        <v>271</v>
      </c>
      <c r="I10" s="18" t="s">
        <v>382</v>
      </c>
      <c r="J10" s="18" t="s">
        <v>12</v>
      </c>
      <c r="K10" s="50" t="s">
        <v>146</v>
      </c>
      <c r="L10" s="50" t="s">
        <v>17</v>
      </c>
      <c r="M10" s="50" t="s">
        <v>22</v>
      </c>
      <c r="N10" s="18" t="s">
        <v>15</v>
      </c>
      <c r="O10" s="50" t="s">
        <v>19</v>
      </c>
      <c r="P10" s="50" t="s">
        <v>171</v>
      </c>
      <c r="Q10" s="50" t="s">
        <v>201</v>
      </c>
      <c r="R10" s="17" t="s">
        <v>243</v>
      </c>
      <c r="S10" s="17" t="s">
        <v>202</v>
      </c>
      <c r="T10" s="17" t="s">
        <v>284</v>
      </c>
      <c r="U10" s="17" t="s">
        <v>46</v>
      </c>
      <c r="V10" s="17" t="s">
        <v>234</v>
      </c>
      <c r="W10" s="17" t="s">
        <v>267</v>
      </c>
      <c r="X10" s="17" t="s">
        <v>207</v>
      </c>
      <c r="Y10" s="17" t="s">
        <v>209</v>
      </c>
      <c r="Z10" s="20" t="s">
        <v>213</v>
      </c>
      <c r="AA10" s="20" t="s">
        <v>214</v>
      </c>
      <c r="AB10" s="20" t="s">
        <v>215</v>
      </c>
      <c r="AC10" s="20" t="s">
        <v>216</v>
      </c>
      <c r="AD10" s="20" t="s">
        <v>214</v>
      </c>
      <c r="AE10" s="20" t="s">
        <v>217</v>
      </c>
      <c r="AF10" s="23" t="s">
        <v>210</v>
      </c>
      <c r="AG10" s="20" t="s">
        <v>6</v>
      </c>
      <c r="AH10" s="36" t="s">
        <v>7</v>
      </c>
      <c r="AI10" s="8"/>
    </row>
    <row r="11" spans="1:35" ht="18" hidden="1" customHeight="1">
      <c r="C11" s="1" t="s">
        <v>380</v>
      </c>
      <c r="D11" s="13">
        <v>1</v>
      </c>
      <c r="E11" s="13" t="s">
        <v>386</v>
      </c>
      <c r="F11" s="13" t="s">
        <v>155</v>
      </c>
      <c r="G11" s="117" t="s">
        <v>377</v>
      </c>
      <c r="H11" s="125"/>
      <c r="I11" s="14">
        <v>46150</v>
      </c>
      <c r="J11" s="47">
        <v>0.29166666666666669</v>
      </c>
      <c r="K11" s="118"/>
      <c r="L11" s="118"/>
      <c r="M11" s="118" t="s">
        <v>144</v>
      </c>
      <c r="N11" s="127" t="s">
        <v>108</v>
      </c>
      <c r="O11" s="16" t="s">
        <v>688</v>
      </c>
      <c r="P11" s="147" t="s">
        <v>178</v>
      </c>
      <c r="Q11" s="147" t="s">
        <v>366</v>
      </c>
      <c r="R11" s="148" t="s">
        <v>289</v>
      </c>
      <c r="S11" s="148" t="s">
        <v>689</v>
      </c>
      <c r="T11" s="148" t="s">
        <v>358</v>
      </c>
      <c r="U11" s="216" t="s">
        <v>292</v>
      </c>
      <c r="V11" s="148" t="s">
        <v>203</v>
      </c>
      <c r="W11" s="148" t="s">
        <v>289</v>
      </c>
      <c r="X11" s="149" t="s">
        <v>239</v>
      </c>
      <c r="Y11" s="148" t="s">
        <v>361</v>
      </c>
      <c r="Z11" s="150">
        <v>46150</v>
      </c>
      <c r="AA11" s="151">
        <v>0.3125</v>
      </c>
      <c r="AB11" s="150">
        <v>46150</v>
      </c>
      <c r="AC11" s="151">
        <v>0.33333333333333331</v>
      </c>
      <c r="AD11" s="152">
        <f>IF(AND(AA11&lt;&gt;0,AC11&lt;&gt;0),AC11-AA11,0)</f>
        <v>2.0833333333333315E-2</v>
      </c>
      <c r="AE11" s="153" t="str">
        <f t="array" ref="AE11">IFERROR(IF(AND(K11="Machinery",M11="Break Down"),AC11-J11,""),"")</f>
        <v/>
      </c>
      <c r="AF11" s="148"/>
      <c r="AG11" s="148"/>
      <c r="AH11" s="148" t="s">
        <v>289</v>
      </c>
    </row>
    <row r="12" spans="1:35" ht="18" hidden="1" customHeight="1">
      <c r="D12" s="15">
        <v>2</v>
      </c>
      <c r="E12" s="13" t="s">
        <v>387</v>
      </c>
      <c r="F12" s="15" t="s">
        <v>153</v>
      </c>
      <c r="G12" s="118" t="s">
        <v>123</v>
      </c>
      <c r="H12" s="126" t="s">
        <v>168</v>
      </c>
      <c r="I12" s="14">
        <v>46149</v>
      </c>
      <c r="J12" s="47">
        <v>46150.625</v>
      </c>
      <c r="K12" s="118" t="s">
        <v>104</v>
      </c>
      <c r="L12" s="118" t="s">
        <v>140</v>
      </c>
      <c r="M12" s="118" t="s">
        <v>289</v>
      </c>
      <c r="N12" s="127" t="s">
        <v>690</v>
      </c>
      <c r="O12" s="16" t="s">
        <v>691</v>
      </c>
      <c r="P12" s="147" t="s">
        <v>173</v>
      </c>
      <c r="Q12" s="147"/>
      <c r="R12" s="147"/>
      <c r="S12" s="147"/>
      <c r="T12" s="147"/>
      <c r="U12" s="217"/>
      <c r="V12" s="147"/>
      <c r="W12" s="147"/>
      <c r="X12" s="154"/>
      <c r="Y12" s="147"/>
      <c r="Z12" s="150"/>
      <c r="AA12" s="151"/>
      <c r="AB12" s="150"/>
      <c r="AC12" s="151"/>
      <c r="AD12" s="152"/>
      <c r="AE12" s="153"/>
      <c r="AF12" s="148"/>
      <c r="AG12" s="147"/>
      <c r="AH12" s="147"/>
    </row>
    <row r="13" spans="1:35" ht="18" hidden="1" customHeight="1">
      <c r="D13" s="13">
        <v>3</v>
      </c>
      <c r="E13" s="13" t="s">
        <v>388</v>
      </c>
      <c r="F13" s="15" t="s">
        <v>153</v>
      </c>
      <c r="G13" s="118" t="s">
        <v>123</v>
      </c>
      <c r="H13" s="126" t="s">
        <v>168</v>
      </c>
      <c r="I13" s="14">
        <v>46149</v>
      </c>
      <c r="J13" s="48">
        <v>46150.625</v>
      </c>
      <c r="K13" s="118" t="s">
        <v>104</v>
      </c>
      <c r="L13" s="118" t="s">
        <v>140</v>
      </c>
      <c r="M13" s="118" t="s">
        <v>289</v>
      </c>
      <c r="N13" s="127" t="s">
        <v>692</v>
      </c>
      <c r="O13" s="16" t="s">
        <v>691</v>
      </c>
      <c r="P13" s="147" t="s">
        <v>173</v>
      </c>
      <c r="Q13" s="147"/>
      <c r="R13" s="147"/>
      <c r="S13" s="147"/>
      <c r="T13" s="148"/>
      <c r="U13" s="216"/>
      <c r="V13" s="148"/>
      <c r="W13" s="148"/>
      <c r="X13" s="149"/>
      <c r="Y13" s="148"/>
      <c r="Z13" s="150"/>
      <c r="AA13" s="151"/>
      <c r="AB13" s="150"/>
      <c r="AC13" s="151"/>
      <c r="AD13" s="152"/>
      <c r="AE13" s="153"/>
      <c r="AF13" s="148"/>
      <c r="AG13" s="147"/>
      <c r="AH13" s="147"/>
    </row>
    <row r="14" spans="1:35" ht="18" hidden="1" customHeight="1">
      <c r="D14" s="15">
        <v>4</v>
      </c>
      <c r="E14" s="13" t="s">
        <v>389</v>
      </c>
      <c r="F14" s="15" t="s">
        <v>153</v>
      </c>
      <c r="G14" s="118" t="s">
        <v>230</v>
      </c>
      <c r="H14" s="126" t="s">
        <v>379</v>
      </c>
      <c r="I14" s="14">
        <v>46153</v>
      </c>
      <c r="J14" s="48">
        <v>0.4201388888888889</v>
      </c>
      <c r="K14" s="118" t="s">
        <v>139</v>
      </c>
      <c r="L14" s="118" t="s">
        <v>140</v>
      </c>
      <c r="M14" s="118" t="s">
        <v>289</v>
      </c>
      <c r="N14" s="127" t="s">
        <v>693</v>
      </c>
      <c r="O14" s="16" t="s">
        <v>694</v>
      </c>
      <c r="P14" s="147"/>
      <c r="Q14" s="147"/>
      <c r="R14" s="147"/>
      <c r="S14" s="147"/>
      <c r="T14" s="147"/>
      <c r="U14" s="217"/>
      <c r="V14" s="147"/>
      <c r="W14" s="147"/>
      <c r="X14" s="154"/>
      <c r="Y14" s="147"/>
      <c r="Z14" s="150"/>
      <c r="AA14" s="151"/>
      <c r="AB14" s="150"/>
      <c r="AC14" s="151"/>
      <c r="AD14" s="152"/>
      <c r="AE14" s="153"/>
      <c r="AF14" s="148"/>
      <c r="AG14" s="147"/>
      <c r="AH14" s="147"/>
    </row>
    <row r="15" spans="1:35" ht="18" hidden="1" customHeight="1">
      <c r="D15" s="13">
        <v>5</v>
      </c>
      <c r="E15" s="13" t="s">
        <v>390</v>
      </c>
      <c r="F15" s="15" t="s">
        <v>153</v>
      </c>
      <c r="G15" s="118" t="s">
        <v>230</v>
      </c>
      <c r="H15" s="126" t="s">
        <v>379</v>
      </c>
      <c r="I15" s="14">
        <v>46154</v>
      </c>
      <c r="J15" s="48">
        <v>0.46180555555555602</v>
      </c>
      <c r="K15" s="118" t="s">
        <v>365</v>
      </c>
      <c r="L15" s="118" t="s">
        <v>140</v>
      </c>
      <c r="M15" s="118" t="s">
        <v>289</v>
      </c>
      <c r="N15" s="127" t="s">
        <v>695</v>
      </c>
      <c r="O15" s="16" t="s">
        <v>696</v>
      </c>
      <c r="P15" s="147"/>
      <c r="Q15" s="147"/>
      <c r="R15" s="147"/>
      <c r="S15" s="147"/>
      <c r="T15" s="147"/>
      <c r="U15" s="217"/>
      <c r="V15" s="147"/>
      <c r="W15" s="147"/>
      <c r="X15" s="154"/>
      <c r="Y15" s="147"/>
      <c r="Z15" s="150"/>
      <c r="AA15" s="151"/>
      <c r="AB15" s="150"/>
      <c r="AC15" s="151"/>
      <c r="AD15" s="152"/>
      <c r="AE15" s="153"/>
      <c r="AF15" s="148"/>
      <c r="AG15" s="147"/>
      <c r="AH15" s="147"/>
    </row>
    <row r="16" spans="1:35" ht="18" hidden="1" customHeight="1">
      <c r="D16" s="15">
        <v>6</v>
      </c>
      <c r="E16" s="13" t="s">
        <v>391</v>
      </c>
      <c r="F16" s="15" t="s">
        <v>153</v>
      </c>
      <c r="G16" s="118" t="s">
        <v>230</v>
      </c>
      <c r="H16" s="126" t="s">
        <v>379</v>
      </c>
      <c r="I16" s="14">
        <v>46154</v>
      </c>
      <c r="J16" s="48">
        <v>0.46180555555555602</v>
      </c>
      <c r="K16" s="118" t="s">
        <v>104</v>
      </c>
      <c r="L16" s="118" t="s">
        <v>140</v>
      </c>
      <c r="M16" s="118" t="s">
        <v>289</v>
      </c>
      <c r="N16" s="127" t="s">
        <v>697</v>
      </c>
      <c r="O16" s="16" t="s">
        <v>698</v>
      </c>
      <c r="P16" s="147"/>
      <c r="Q16" s="147"/>
      <c r="R16" s="147"/>
      <c r="S16" s="147"/>
      <c r="T16" s="147"/>
      <c r="U16" s="217"/>
      <c r="V16" s="147"/>
      <c r="W16" s="147"/>
      <c r="X16" s="154"/>
      <c r="Y16" s="147"/>
      <c r="Z16" s="150"/>
      <c r="AA16" s="151"/>
      <c r="AB16" s="150"/>
      <c r="AC16" s="151"/>
      <c r="AD16" s="152"/>
      <c r="AE16" s="153"/>
      <c r="AF16" s="148"/>
      <c r="AG16" s="147"/>
      <c r="AH16" s="147"/>
    </row>
    <row r="17" spans="4:34" ht="18" hidden="1" customHeight="1">
      <c r="D17" s="13">
        <v>7</v>
      </c>
      <c r="E17" s="13" t="s">
        <v>392</v>
      </c>
      <c r="F17" s="15" t="s">
        <v>153</v>
      </c>
      <c r="G17" s="118" t="s">
        <v>230</v>
      </c>
      <c r="H17" s="126" t="s">
        <v>379</v>
      </c>
      <c r="I17" s="14">
        <v>46154</v>
      </c>
      <c r="J17" s="48">
        <v>0.46180555555555602</v>
      </c>
      <c r="K17" s="118" t="s">
        <v>104</v>
      </c>
      <c r="L17" s="118" t="s">
        <v>140</v>
      </c>
      <c r="M17" s="118" t="s">
        <v>289</v>
      </c>
      <c r="N17" s="127" t="s">
        <v>697</v>
      </c>
      <c r="O17" s="16" t="s">
        <v>698</v>
      </c>
      <c r="P17" s="147"/>
      <c r="Q17" s="147"/>
      <c r="R17" s="147"/>
      <c r="S17" s="147"/>
      <c r="T17" s="147"/>
      <c r="U17" s="217"/>
      <c r="V17" s="147"/>
      <c r="W17" s="147"/>
      <c r="X17" s="154"/>
      <c r="Y17" s="147"/>
      <c r="Z17" s="150"/>
      <c r="AA17" s="151"/>
      <c r="AB17" s="150"/>
      <c r="AC17" s="151"/>
      <c r="AD17" s="152"/>
      <c r="AE17" s="153"/>
      <c r="AF17" s="148"/>
      <c r="AG17" s="147"/>
      <c r="AH17" s="147"/>
    </row>
    <row r="18" spans="4:34" ht="18" hidden="1" customHeight="1">
      <c r="D18" s="15">
        <v>8</v>
      </c>
      <c r="E18" s="13" t="s">
        <v>393</v>
      </c>
      <c r="F18" s="15" t="s">
        <v>155</v>
      </c>
      <c r="G18" s="118" t="s">
        <v>100</v>
      </c>
      <c r="H18" s="126" t="s">
        <v>228</v>
      </c>
      <c r="I18" s="14">
        <v>46153</v>
      </c>
      <c r="J18" s="48">
        <v>0.4375</v>
      </c>
      <c r="K18" s="118" t="s">
        <v>104</v>
      </c>
      <c r="L18" s="118" t="s">
        <v>140</v>
      </c>
      <c r="M18" s="118" t="s">
        <v>143</v>
      </c>
      <c r="N18" s="127" t="s">
        <v>109</v>
      </c>
      <c r="O18" s="16" t="s">
        <v>699</v>
      </c>
      <c r="P18" s="147"/>
      <c r="Q18" s="147"/>
      <c r="R18" s="147"/>
      <c r="S18" s="147"/>
      <c r="T18" s="147"/>
      <c r="U18" s="217"/>
      <c r="V18" s="147"/>
      <c r="W18" s="147"/>
      <c r="X18" s="154"/>
      <c r="Y18" s="147"/>
      <c r="Z18" s="150"/>
      <c r="AA18" s="151"/>
      <c r="AB18" s="150"/>
      <c r="AC18" s="151"/>
      <c r="AD18" s="152"/>
      <c r="AE18" s="153"/>
      <c r="AF18" s="148"/>
      <c r="AG18" s="147"/>
      <c r="AH18" s="147"/>
    </row>
    <row r="19" spans="4:34" ht="18" hidden="1" customHeight="1">
      <c r="D19" s="13">
        <v>9</v>
      </c>
      <c r="E19" s="13" t="s">
        <v>394</v>
      </c>
      <c r="F19" s="15" t="s">
        <v>153</v>
      </c>
      <c r="G19" s="118" t="s">
        <v>101</v>
      </c>
      <c r="H19" s="126" t="s">
        <v>368</v>
      </c>
      <c r="I19" s="14">
        <v>46153</v>
      </c>
      <c r="J19" s="48">
        <v>0.65902777777777777</v>
      </c>
      <c r="K19" s="118" t="s">
        <v>139</v>
      </c>
      <c r="L19" s="118" t="s">
        <v>140</v>
      </c>
      <c r="M19" s="118" t="s">
        <v>144</v>
      </c>
      <c r="N19" s="127" t="s">
        <v>700</v>
      </c>
      <c r="O19" s="16" t="s">
        <v>701</v>
      </c>
      <c r="P19" s="147"/>
      <c r="Q19" s="147"/>
      <c r="R19" s="147"/>
      <c r="S19" s="147"/>
      <c r="T19" s="147"/>
      <c r="U19" s="217"/>
      <c r="V19" s="147"/>
      <c r="W19" s="147"/>
      <c r="X19" s="154"/>
      <c r="Y19" s="147"/>
      <c r="Z19" s="150"/>
      <c r="AA19" s="151"/>
      <c r="AB19" s="150"/>
      <c r="AC19" s="151"/>
      <c r="AD19" s="152"/>
      <c r="AE19" s="153"/>
      <c r="AF19" s="148"/>
      <c r="AG19" s="147"/>
      <c r="AH19" s="147"/>
    </row>
    <row r="20" spans="4:34" ht="18" hidden="1" customHeight="1">
      <c r="D20" s="15">
        <v>10</v>
      </c>
      <c r="E20" s="13" t="s">
        <v>395</v>
      </c>
      <c r="F20" s="15" t="s">
        <v>153</v>
      </c>
      <c r="G20" s="118" t="s">
        <v>100</v>
      </c>
      <c r="H20" s="126" t="s">
        <v>228</v>
      </c>
      <c r="I20" s="14">
        <v>46154</v>
      </c>
      <c r="J20" s="48">
        <v>0.47222222222222221</v>
      </c>
      <c r="K20" s="118" t="s">
        <v>139</v>
      </c>
      <c r="L20" s="118" t="s">
        <v>140</v>
      </c>
      <c r="M20" s="118"/>
      <c r="N20" s="127" t="s">
        <v>702</v>
      </c>
      <c r="O20" s="127" t="s">
        <v>703</v>
      </c>
      <c r="P20" s="147"/>
      <c r="Q20" s="147"/>
      <c r="R20" s="147"/>
      <c r="S20" s="147"/>
      <c r="T20" s="147"/>
      <c r="U20" s="217"/>
      <c r="V20" s="147"/>
      <c r="W20" s="147"/>
      <c r="X20" s="154"/>
      <c r="Y20" s="147"/>
      <c r="Z20" s="150"/>
      <c r="AA20" s="151"/>
      <c r="AB20" s="150"/>
      <c r="AC20" s="151"/>
      <c r="AD20" s="152"/>
      <c r="AE20" s="153"/>
      <c r="AF20" s="148"/>
      <c r="AG20" s="147"/>
      <c r="AH20" s="147"/>
    </row>
    <row r="21" spans="4:34" ht="18" hidden="1" customHeight="1">
      <c r="D21" s="13">
        <v>11</v>
      </c>
      <c r="E21" s="13" t="s">
        <v>396</v>
      </c>
      <c r="F21" s="15" t="s">
        <v>153</v>
      </c>
      <c r="G21" s="118" t="s">
        <v>125</v>
      </c>
      <c r="H21" s="126" t="s">
        <v>162</v>
      </c>
      <c r="I21" s="14">
        <v>46154</v>
      </c>
      <c r="J21" s="48">
        <v>0.47916666666666669</v>
      </c>
      <c r="K21" s="118" t="s">
        <v>139</v>
      </c>
      <c r="L21" s="118" t="s">
        <v>140</v>
      </c>
      <c r="M21" s="118"/>
      <c r="N21" s="127" t="s">
        <v>704</v>
      </c>
      <c r="O21" s="16" t="s">
        <v>705</v>
      </c>
      <c r="P21" s="147"/>
      <c r="Q21" s="147"/>
      <c r="R21" s="147"/>
      <c r="S21" s="147"/>
      <c r="T21" s="147"/>
      <c r="U21" s="217"/>
      <c r="V21" s="147"/>
      <c r="W21" s="147"/>
      <c r="X21" s="154"/>
      <c r="Y21" s="147"/>
      <c r="Z21" s="150"/>
      <c r="AA21" s="151"/>
      <c r="AB21" s="150"/>
      <c r="AC21" s="151"/>
      <c r="AD21" s="152"/>
      <c r="AE21" s="153"/>
      <c r="AF21" s="148"/>
      <c r="AG21" s="147"/>
      <c r="AH21" s="147"/>
    </row>
    <row r="22" spans="4:34" ht="18" hidden="1" customHeight="1">
      <c r="D22" s="15">
        <v>12</v>
      </c>
      <c r="E22" s="13" t="s">
        <v>397</v>
      </c>
      <c r="F22" s="15" t="s">
        <v>153</v>
      </c>
      <c r="G22" s="118" t="s">
        <v>125</v>
      </c>
      <c r="H22" s="126" t="s">
        <v>162</v>
      </c>
      <c r="I22" s="14">
        <v>46154</v>
      </c>
      <c r="J22" s="48">
        <v>0.48194444444444445</v>
      </c>
      <c r="K22" s="118" t="s">
        <v>139</v>
      </c>
      <c r="L22" s="118" t="s">
        <v>140</v>
      </c>
      <c r="M22" s="118"/>
      <c r="N22" s="127" t="s">
        <v>706</v>
      </c>
      <c r="O22" s="16" t="s">
        <v>707</v>
      </c>
      <c r="P22" s="147"/>
      <c r="Q22" s="147"/>
      <c r="R22" s="147"/>
      <c r="S22" s="147"/>
      <c r="T22" s="147"/>
      <c r="U22" s="217"/>
      <c r="V22" s="147"/>
      <c r="W22" s="147"/>
      <c r="X22" s="154"/>
      <c r="Y22" s="147"/>
      <c r="Z22" s="150"/>
      <c r="AA22" s="151"/>
      <c r="AB22" s="150"/>
      <c r="AC22" s="151"/>
      <c r="AD22" s="152"/>
      <c r="AE22" s="153"/>
      <c r="AF22" s="148"/>
      <c r="AG22" s="147"/>
      <c r="AH22" s="147"/>
    </row>
    <row r="23" spans="4:34" ht="18" hidden="1" customHeight="1">
      <c r="D23" s="13">
        <v>13</v>
      </c>
      <c r="E23" s="13" t="s">
        <v>398</v>
      </c>
      <c r="F23" s="15" t="s">
        <v>153</v>
      </c>
      <c r="G23" s="118" t="s">
        <v>125</v>
      </c>
      <c r="H23" s="126" t="s">
        <v>162</v>
      </c>
      <c r="I23" s="14">
        <v>46155</v>
      </c>
      <c r="J23" s="48">
        <v>0.52430555555555558</v>
      </c>
      <c r="K23" s="118" t="s">
        <v>139</v>
      </c>
      <c r="L23" s="118" t="s">
        <v>140</v>
      </c>
      <c r="M23" s="118"/>
      <c r="N23" s="127" t="s">
        <v>708</v>
      </c>
      <c r="O23" s="16" t="s">
        <v>709</v>
      </c>
      <c r="P23" s="147"/>
      <c r="Q23" s="147"/>
      <c r="R23" s="147"/>
      <c r="S23" s="147"/>
      <c r="T23" s="147"/>
      <c r="U23" s="217"/>
      <c r="V23" s="147"/>
      <c r="W23" s="147"/>
      <c r="X23" s="154"/>
      <c r="Y23" s="147"/>
      <c r="Z23" s="150"/>
      <c r="AA23" s="151"/>
      <c r="AB23" s="150"/>
      <c r="AC23" s="151"/>
      <c r="AD23" s="152"/>
      <c r="AE23" s="153"/>
      <c r="AF23" s="148"/>
      <c r="AG23" s="147"/>
      <c r="AH23" s="147"/>
    </row>
    <row r="24" spans="4:34" ht="18" hidden="1" customHeight="1">
      <c r="D24" s="15">
        <v>14</v>
      </c>
      <c r="E24" s="13" t="s">
        <v>399</v>
      </c>
      <c r="F24" s="15" t="s">
        <v>153</v>
      </c>
      <c r="G24" s="118" t="s">
        <v>125</v>
      </c>
      <c r="H24" s="126" t="s">
        <v>710</v>
      </c>
      <c r="I24" s="14">
        <v>46155</v>
      </c>
      <c r="J24" s="48">
        <v>0.54166666666666663</v>
      </c>
      <c r="K24" s="118" t="s">
        <v>139</v>
      </c>
      <c r="L24" s="118" t="s">
        <v>140</v>
      </c>
      <c r="M24" s="118"/>
      <c r="N24" s="127" t="s">
        <v>711</v>
      </c>
      <c r="O24" s="16" t="s">
        <v>712</v>
      </c>
      <c r="P24" s="147"/>
      <c r="Q24" s="147"/>
      <c r="R24" s="147"/>
      <c r="S24" s="147"/>
      <c r="T24" s="147"/>
      <c r="U24" s="217"/>
      <c r="V24" s="147"/>
      <c r="W24" s="147"/>
      <c r="X24" s="154"/>
      <c r="Y24" s="147"/>
      <c r="Z24" s="150"/>
      <c r="AA24" s="151"/>
      <c r="AB24" s="150"/>
      <c r="AC24" s="151"/>
      <c r="AD24" s="152"/>
      <c r="AE24" s="153"/>
      <c r="AF24" s="148"/>
      <c r="AG24" s="147"/>
      <c r="AH24" s="147"/>
    </row>
    <row r="25" spans="4:34" ht="18" hidden="1" customHeight="1">
      <c r="D25" s="13">
        <v>15</v>
      </c>
      <c r="E25" s="13" t="s">
        <v>400</v>
      </c>
      <c r="F25" s="15" t="s">
        <v>155</v>
      </c>
      <c r="G25" s="118" t="s">
        <v>125</v>
      </c>
      <c r="H25" s="126" t="s">
        <v>710</v>
      </c>
      <c r="I25" s="14">
        <v>46161</v>
      </c>
      <c r="J25" s="48">
        <v>46161.549305555556</v>
      </c>
      <c r="K25" s="118" t="s">
        <v>139</v>
      </c>
      <c r="L25" s="118" t="s">
        <v>140</v>
      </c>
      <c r="M25" s="118"/>
      <c r="N25" s="127" t="s">
        <v>713</v>
      </c>
      <c r="O25" s="16" t="s">
        <v>760</v>
      </c>
      <c r="P25" s="147" t="s">
        <v>173</v>
      </c>
      <c r="Q25" s="147" t="s">
        <v>786</v>
      </c>
      <c r="R25" s="147" t="s">
        <v>289</v>
      </c>
      <c r="S25" s="147"/>
      <c r="T25" s="147" t="s">
        <v>787</v>
      </c>
      <c r="U25" s="217" t="s">
        <v>788</v>
      </c>
      <c r="V25" s="147" t="s">
        <v>203</v>
      </c>
      <c r="W25" s="147"/>
      <c r="X25" s="154" t="s">
        <v>208</v>
      </c>
      <c r="Y25" s="147"/>
      <c r="Z25" s="150" t="s">
        <v>771</v>
      </c>
      <c r="AA25" s="151">
        <v>0.875</v>
      </c>
      <c r="AB25" s="150" t="s">
        <v>771</v>
      </c>
      <c r="AC25" s="151">
        <v>0.91666666666666663</v>
      </c>
      <c r="AD25" s="152"/>
      <c r="AE25" s="153"/>
      <c r="AF25" s="247" t="s">
        <v>710</v>
      </c>
      <c r="AG25" s="147" t="s">
        <v>164</v>
      </c>
      <c r="AH25" s="147"/>
    </row>
    <row r="26" spans="4:34" ht="18" hidden="1" customHeight="1">
      <c r="D26" s="15">
        <v>16</v>
      </c>
      <c r="E26" s="13" t="s">
        <v>401</v>
      </c>
      <c r="F26" s="15" t="s">
        <v>153</v>
      </c>
      <c r="G26" s="118" t="s">
        <v>124</v>
      </c>
      <c r="H26" s="126" t="s">
        <v>167</v>
      </c>
      <c r="I26" s="14">
        <v>46154</v>
      </c>
      <c r="J26" s="48">
        <v>0.54583333333333328</v>
      </c>
      <c r="K26" s="118" t="s">
        <v>139</v>
      </c>
      <c r="L26" s="118" t="s">
        <v>140</v>
      </c>
      <c r="M26" s="118"/>
      <c r="N26" s="127" t="s">
        <v>714</v>
      </c>
      <c r="O26" s="16" t="s">
        <v>715</v>
      </c>
      <c r="P26" s="147"/>
      <c r="Q26" s="147"/>
      <c r="R26" s="147"/>
      <c r="S26" s="147"/>
      <c r="T26" s="147"/>
      <c r="U26" s="217"/>
      <c r="V26" s="147"/>
      <c r="W26" s="147"/>
      <c r="X26" s="154"/>
      <c r="Y26" s="147"/>
      <c r="Z26" s="150"/>
      <c r="AA26" s="151"/>
      <c r="AB26" s="150"/>
      <c r="AC26" s="151"/>
      <c r="AD26" s="152"/>
      <c r="AE26" s="153"/>
      <c r="AF26" s="148"/>
      <c r="AG26" s="147"/>
      <c r="AH26" s="147"/>
    </row>
    <row r="27" spans="4:34" ht="18" hidden="1" customHeight="1">
      <c r="D27" s="13">
        <v>17</v>
      </c>
      <c r="E27" s="13" t="s">
        <v>402</v>
      </c>
      <c r="F27" s="15" t="s">
        <v>153</v>
      </c>
      <c r="G27" s="118" t="s">
        <v>139</v>
      </c>
      <c r="H27" s="126" t="s">
        <v>719</v>
      </c>
      <c r="I27" s="14">
        <v>46155</v>
      </c>
      <c r="J27" s="48" t="s">
        <v>718</v>
      </c>
      <c r="K27" s="118" t="s">
        <v>139</v>
      </c>
      <c r="L27" s="118" t="s">
        <v>141</v>
      </c>
      <c r="M27" s="118"/>
      <c r="N27" s="127" t="s">
        <v>716</v>
      </c>
      <c r="O27" s="16" t="s">
        <v>717</v>
      </c>
      <c r="P27" s="147"/>
      <c r="Q27" s="147"/>
      <c r="R27" s="147"/>
      <c r="S27" s="147"/>
      <c r="T27" s="147"/>
      <c r="U27" s="216"/>
      <c r="V27" s="147"/>
      <c r="W27" s="147"/>
      <c r="X27" s="154"/>
      <c r="Y27" s="147"/>
      <c r="Z27" s="150"/>
      <c r="AA27" s="151"/>
      <c r="AB27" s="150"/>
      <c r="AC27" s="151"/>
      <c r="AD27" s="152"/>
      <c r="AE27" s="153"/>
      <c r="AF27" s="148"/>
      <c r="AG27" s="147"/>
      <c r="AH27" s="147"/>
    </row>
    <row r="28" spans="4:34" ht="18" hidden="1" customHeight="1">
      <c r="D28" s="15">
        <v>18</v>
      </c>
      <c r="E28" s="13" t="s">
        <v>403</v>
      </c>
      <c r="F28" s="15" t="s">
        <v>153</v>
      </c>
      <c r="G28" s="118" t="s">
        <v>230</v>
      </c>
      <c r="H28" s="126" t="s">
        <v>287</v>
      </c>
      <c r="I28" s="14">
        <v>46155</v>
      </c>
      <c r="J28" s="48">
        <v>9.44</v>
      </c>
      <c r="K28" s="118" t="s">
        <v>139</v>
      </c>
      <c r="L28" s="118" t="s">
        <v>141</v>
      </c>
      <c r="M28" s="118"/>
      <c r="N28" s="127" t="s">
        <v>720</v>
      </c>
      <c r="O28" s="16" t="s">
        <v>721</v>
      </c>
      <c r="P28" s="147"/>
      <c r="Q28" s="147"/>
      <c r="R28" s="147"/>
      <c r="S28" s="147"/>
      <c r="T28" s="147"/>
      <c r="U28" s="217"/>
      <c r="V28" s="147"/>
      <c r="W28" s="147"/>
      <c r="X28" s="154"/>
      <c r="Y28" s="147"/>
      <c r="Z28" s="150"/>
      <c r="AA28" s="151"/>
      <c r="AB28" s="150"/>
      <c r="AC28" s="151"/>
      <c r="AD28" s="152"/>
      <c r="AE28" s="153"/>
      <c r="AF28" s="148"/>
      <c r="AG28" s="147"/>
      <c r="AH28" s="147"/>
    </row>
    <row r="29" spans="4:34" ht="18" hidden="1" customHeight="1">
      <c r="D29" s="13">
        <v>19</v>
      </c>
      <c r="E29" s="13" t="s">
        <v>404</v>
      </c>
      <c r="F29" s="15" t="s">
        <v>156</v>
      </c>
      <c r="G29" s="118" t="s">
        <v>123</v>
      </c>
      <c r="H29" s="126" t="s">
        <v>168</v>
      </c>
      <c r="I29" s="14">
        <v>46155</v>
      </c>
      <c r="J29" s="48">
        <v>46155.493055555555</v>
      </c>
      <c r="K29" s="118" t="s">
        <v>104</v>
      </c>
      <c r="L29" s="118" t="s">
        <v>140</v>
      </c>
      <c r="M29" s="118" t="s">
        <v>143</v>
      </c>
      <c r="N29" s="127" t="s">
        <v>722</v>
      </c>
      <c r="O29" s="16" t="s">
        <v>723</v>
      </c>
      <c r="P29" s="147"/>
      <c r="Q29" s="147"/>
      <c r="R29" s="147"/>
      <c r="S29" s="147"/>
      <c r="T29" s="147"/>
      <c r="U29" s="216"/>
      <c r="V29" s="147"/>
      <c r="W29" s="147"/>
      <c r="X29" s="154"/>
      <c r="Y29" s="147"/>
      <c r="Z29" s="150"/>
      <c r="AA29" s="151"/>
      <c r="AB29" s="150"/>
      <c r="AC29" s="151"/>
      <c r="AD29" s="152"/>
      <c r="AE29" s="153"/>
      <c r="AF29" s="148"/>
      <c r="AG29" s="147"/>
      <c r="AH29" s="147"/>
    </row>
    <row r="30" spans="4:34" ht="18" hidden="1" customHeight="1">
      <c r="D30" s="15">
        <v>20</v>
      </c>
      <c r="E30" s="13" t="s">
        <v>405</v>
      </c>
      <c r="F30" s="15" t="s">
        <v>156</v>
      </c>
      <c r="G30" s="118" t="s">
        <v>102</v>
      </c>
      <c r="H30" s="126" t="s">
        <v>159</v>
      </c>
      <c r="I30" s="14">
        <v>46155</v>
      </c>
      <c r="J30" s="48">
        <v>46155.416666666664</v>
      </c>
      <c r="K30" s="118" t="s">
        <v>139</v>
      </c>
      <c r="L30" s="118" t="s">
        <v>142</v>
      </c>
      <c r="M30" s="118"/>
      <c r="N30" s="127"/>
      <c r="O30" s="16" t="s">
        <v>724</v>
      </c>
      <c r="P30" s="147"/>
      <c r="Q30" s="147" t="s">
        <v>725</v>
      </c>
      <c r="R30" s="147"/>
      <c r="S30" s="147"/>
      <c r="T30" s="147"/>
      <c r="U30" s="217"/>
      <c r="V30" s="147"/>
      <c r="W30" s="147"/>
      <c r="X30" s="154"/>
      <c r="Y30" s="147"/>
      <c r="Z30" s="214"/>
      <c r="AA30" s="151"/>
      <c r="AB30" s="214"/>
      <c r="AC30" s="151"/>
      <c r="AD30" s="152"/>
      <c r="AE30" s="153"/>
      <c r="AF30" s="148"/>
      <c r="AG30" s="147"/>
      <c r="AH30" s="147"/>
    </row>
    <row r="31" spans="4:34" ht="18" hidden="1" customHeight="1">
      <c r="D31" s="13">
        <v>21</v>
      </c>
      <c r="E31" s="13" t="s">
        <v>406</v>
      </c>
      <c r="F31" s="15" t="s">
        <v>156</v>
      </c>
      <c r="G31" s="118" t="s">
        <v>103</v>
      </c>
      <c r="H31" s="126" t="s">
        <v>159</v>
      </c>
      <c r="I31" s="14">
        <v>46155</v>
      </c>
      <c r="J31" s="48">
        <v>46155.416666666664</v>
      </c>
      <c r="K31" s="118" t="s">
        <v>139</v>
      </c>
      <c r="L31" s="118" t="s">
        <v>142</v>
      </c>
      <c r="M31" s="118"/>
      <c r="N31" s="127"/>
      <c r="O31" s="16" t="s">
        <v>724</v>
      </c>
      <c r="P31" s="147"/>
      <c r="Q31" s="147" t="s">
        <v>725</v>
      </c>
      <c r="R31" s="147"/>
      <c r="S31" s="147"/>
      <c r="T31" s="147"/>
      <c r="U31" s="217"/>
      <c r="V31" s="147"/>
      <c r="W31" s="147"/>
      <c r="X31" s="154"/>
      <c r="Y31" s="147"/>
      <c r="Z31" s="150"/>
      <c r="AA31" s="151"/>
      <c r="AB31" s="150"/>
      <c r="AC31" s="151"/>
      <c r="AD31" s="152"/>
      <c r="AE31" s="153"/>
      <c r="AF31" s="148"/>
      <c r="AG31" s="147"/>
      <c r="AH31" s="147"/>
    </row>
    <row r="32" spans="4:34" ht="18" hidden="1" customHeight="1">
      <c r="D32" s="15">
        <v>22</v>
      </c>
      <c r="E32" s="13" t="s">
        <v>407</v>
      </c>
      <c r="F32" s="15" t="s">
        <v>155</v>
      </c>
      <c r="G32" s="118" t="s">
        <v>100</v>
      </c>
      <c r="H32" s="126" t="s">
        <v>228</v>
      </c>
      <c r="I32" s="14">
        <v>46156</v>
      </c>
      <c r="J32" s="48">
        <v>0.40625</v>
      </c>
      <c r="K32" s="118" t="s">
        <v>139</v>
      </c>
      <c r="L32" s="118" t="s">
        <v>140</v>
      </c>
      <c r="M32" s="118"/>
      <c r="N32" s="127" t="s">
        <v>726</v>
      </c>
      <c r="O32" s="127" t="s">
        <v>726</v>
      </c>
      <c r="P32" s="147" t="s">
        <v>177</v>
      </c>
      <c r="Q32" s="147" t="s">
        <v>746</v>
      </c>
      <c r="R32" s="147" t="s">
        <v>204</v>
      </c>
      <c r="S32" s="147"/>
      <c r="T32" s="147"/>
      <c r="U32" s="217"/>
      <c r="V32" s="147" t="s">
        <v>203</v>
      </c>
      <c r="W32" s="147"/>
      <c r="X32" s="154" t="s">
        <v>208</v>
      </c>
      <c r="Y32" s="147"/>
      <c r="Z32" s="150"/>
      <c r="AA32" s="151"/>
      <c r="AB32" s="150"/>
      <c r="AC32" s="151"/>
      <c r="AD32" s="152"/>
      <c r="AE32" s="153"/>
      <c r="AF32" s="148" t="s">
        <v>228</v>
      </c>
      <c r="AG32" s="147" t="s">
        <v>163</v>
      </c>
      <c r="AH32" s="147"/>
    </row>
    <row r="33" spans="4:34" ht="18" hidden="1" customHeight="1">
      <c r="D33" s="13">
        <v>23</v>
      </c>
      <c r="E33" s="13" t="s">
        <v>408</v>
      </c>
      <c r="F33" s="15" t="s">
        <v>153</v>
      </c>
      <c r="G33" s="118" t="s">
        <v>100</v>
      </c>
      <c r="H33" s="126" t="s">
        <v>228</v>
      </c>
      <c r="I33" s="14">
        <v>46156</v>
      </c>
      <c r="J33" s="48">
        <v>0.40763888888888888</v>
      </c>
      <c r="K33" s="118" t="s">
        <v>139</v>
      </c>
      <c r="L33" s="118" t="s">
        <v>140</v>
      </c>
      <c r="M33" s="118"/>
      <c r="N33" s="127" t="s">
        <v>727</v>
      </c>
      <c r="O33" s="127" t="s">
        <v>727</v>
      </c>
      <c r="P33" s="147"/>
      <c r="Q33" s="147"/>
      <c r="R33" s="147"/>
      <c r="S33" s="147"/>
      <c r="T33" s="147"/>
      <c r="U33" s="217"/>
      <c r="V33" s="147"/>
      <c r="W33" s="147"/>
      <c r="X33" s="154"/>
      <c r="Y33" s="147"/>
      <c r="Z33" s="150"/>
      <c r="AA33" s="151"/>
      <c r="AB33" s="150"/>
      <c r="AC33" s="151"/>
      <c r="AD33" s="152"/>
      <c r="AE33" s="153"/>
      <c r="AF33" s="148"/>
      <c r="AG33" s="147"/>
      <c r="AH33" s="147"/>
    </row>
    <row r="34" spans="4:34" ht="18" hidden="1" customHeight="1">
      <c r="D34" s="15">
        <v>24</v>
      </c>
      <c r="E34" s="13" t="s">
        <v>409</v>
      </c>
      <c r="F34" s="15" t="s">
        <v>155</v>
      </c>
      <c r="G34" s="118" t="s">
        <v>100</v>
      </c>
      <c r="H34" s="126" t="s">
        <v>228</v>
      </c>
      <c r="I34" s="14">
        <v>46156</v>
      </c>
      <c r="J34" s="48">
        <v>0.42777777777777776</v>
      </c>
      <c r="K34" s="118" t="s">
        <v>139</v>
      </c>
      <c r="L34" s="118" t="s">
        <v>140</v>
      </c>
      <c r="M34" s="118"/>
      <c r="N34" s="127" t="s">
        <v>728</v>
      </c>
      <c r="O34" s="127" t="s">
        <v>729</v>
      </c>
      <c r="P34" s="147"/>
      <c r="Q34" s="147"/>
      <c r="R34" s="147"/>
      <c r="S34" s="147"/>
      <c r="T34" s="147"/>
      <c r="U34" s="217"/>
      <c r="V34" s="147"/>
      <c r="W34" s="147"/>
      <c r="X34" s="154"/>
      <c r="Y34" s="147"/>
      <c r="Z34" s="150"/>
      <c r="AA34" s="151"/>
      <c r="AB34" s="150"/>
      <c r="AC34" s="151"/>
      <c r="AD34" s="152"/>
      <c r="AE34" s="153"/>
      <c r="AF34" s="148"/>
      <c r="AG34" s="147"/>
      <c r="AH34" s="147"/>
    </row>
    <row r="35" spans="4:34" ht="18" hidden="1" customHeight="1">
      <c r="D35" s="13">
        <v>25</v>
      </c>
      <c r="E35" s="13" t="s">
        <v>410</v>
      </c>
      <c r="F35" s="15" t="s">
        <v>156</v>
      </c>
      <c r="G35" s="118" t="s">
        <v>102</v>
      </c>
      <c r="H35" s="126" t="s">
        <v>159</v>
      </c>
      <c r="I35" s="14">
        <v>46156</v>
      </c>
      <c r="J35" s="48">
        <v>0.54513888888888884</v>
      </c>
      <c r="K35" s="118" t="s">
        <v>139</v>
      </c>
      <c r="L35" s="118" t="s">
        <v>141</v>
      </c>
      <c r="M35" s="118"/>
      <c r="N35" s="127" t="s">
        <v>730</v>
      </c>
      <c r="O35" s="16" t="s">
        <v>731</v>
      </c>
      <c r="P35" s="147"/>
      <c r="Q35" s="147"/>
      <c r="R35" s="147"/>
      <c r="S35" s="147"/>
      <c r="T35" s="147"/>
      <c r="U35" s="217"/>
      <c r="V35" s="147"/>
      <c r="W35" s="147"/>
      <c r="X35" s="154"/>
      <c r="Y35" s="147"/>
      <c r="Z35" s="150"/>
      <c r="AA35" s="151"/>
      <c r="AB35" s="150"/>
      <c r="AC35" s="151"/>
      <c r="AD35" s="152"/>
      <c r="AE35" s="153"/>
      <c r="AF35" s="148"/>
      <c r="AG35" s="147"/>
      <c r="AH35" s="147"/>
    </row>
    <row r="36" spans="4:34" ht="18" hidden="1" customHeight="1">
      <c r="D36" s="15">
        <v>26</v>
      </c>
      <c r="E36" s="13" t="s">
        <v>411</v>
      </c>
      <c r="F36" s="15" t="s">
        <v>155</v>
      </c>
      <c r="G36" s="118" t="s">
        <v>100</v>
      </c>
      <c r="H36" s="126" t="s">
        <v>228</v>
      </c>
      <c r="I36" s="14">
        <v>46157</v>
      </c>
      <c r="J36" s="48">
        <v>0.45833333333333331</v>
      </c>
      <c r="K36" s="118" t="s">
        <v>139</v>
      </c>
      <c r="L36" s="118" t="s">
        <v>141</v>
      </c>
      <c r="M36" s="118"/>
      <c r="N36" s="127" t="s">
        <v>732</v>
      </c>
      <c r="O36" s="127" t="s">
        <v>732</v>
      </c>
      <c r="P36" s="147" t="s">
        <v>177</v>
      </c>
      <c r="Q36" s="147" t="s">
        <v>751</v>
      </c>
      <c r="R36" s="147" t="s">
        <v>289</v>
      </c>
      <c r="S36" s="147"/>
      <c r="T36" s="147"/>
      <c r="U36" s="217"/>
      <c r="V36" s="147" t="s">
        <v>203</v>
      </c>
      <c r="W36" s="147"/>
      <c r="X36" s="154" t="s">
        <v>208</v>
      </c>
      <c r="Y36" s="147"/>
      <c r="Z36" s="150" t="s">
        <v>749</v>
      </c>
      <c r="AA36" s="151" t="s">
        <v>753</v>
      </c>
      <c r="AB36" s="150" t="s">
        <v>749</v>
      </c>
      <c r="AC36" s="152" t="s">
        <v>752</v>
      </c>
      <c r="AD36" s="152"/>
      <c r="AE36" s="153"/>
      <c r="AF36" s="148" t="s">
        <v>228</v>
      </c>
      <c r="AG36" s="147" t="s">
        <v>80</v>
      </c>
      <c r="AH36" s="147"/>
    </row>
    <row r="37" spans="4:34" ht="18" hidden="1" customHeight="1">
      <c r="D37" s="13">
        <v>27</v>
      </c>
      <c r="E37" s="13" t="s">
        <v>412</v>
      </c>
      <c r="F37" s="15" t="s">
        <v>156</v>
      </c>
      <c r="G37" s="118" t="s">
        <v>123</v>
      </c>
      <c r="H37" s="126" t="s">
        <v>168</v>
      </c>
      <c r="I37" s="14">
        <v>46157</v>
      </c>
      <c r="J37" s="48">
        <v>46157.541666666664</v>
      </c>
      <c r="K37" s="118" t="s">
        <v>104</v>
      </c>
      <c r="L37" s="118" t="s">
        <v>140</v>
      </c>
      <c r="M37" s="118" t="s">
        <v>143</v>
      </c>
      <c r="N37" s="127" t="s">
        <v>360</v>
      </c>
      <c r="O37" s="16" t="s">
        <v>733</v>
      </c>
      <c r="P37" s="147"/>
      <c r="Q37" s="147"/>
      <c r="R37" s="147"/>
      <c r="S37" s="147"/>
      <c r="T37" s="147"/>
      <c r="U37" s="217"/>
      <c r="V37" s="147"/>
      <c r="W37" s="147"/>
      <c r="X37" s="154"/>
      <c r="Y37" s="147"/>
      <c r="Z37" s="150"/>
      <c r="AA37" s="151"/>
      <c r="AB37" s="150"/>
      <c r="AC37" s="152"/>
      <c r="AD37" s="152"/>
      <c r="AE37" s="153"/>
      <c r="AF37" s="148"/>
      <c r="AG37" s="147"/>
      <c r="AH37" s="147"/>
    </row>
    <row r="38" spans="4:34" ht="18" hidden="1" customHeight="1">
      <c r="D38" s="15">
        <v>28</v>
      </c>
      <c r="E38" s="13" t="s">
        <v>413</v>
      </c>
      <c r="F38" s="15" t="s">
        <v>153</v>
      </c>
      <c r="G38" s="118" t="s">
        <v>230</v>
      </c>
      <c r="H38" s="126" t="s">
        <v>287</v>
      </c>
      <c r="I38" s="14">
        <v>46157</v>
      </c>
      <c r="J38" s="48">
        <v>0.58333333333333337</v>
      </c>
      <c r="K38" s="118" t="s">
        <v>104</v>
      </c>
      <c r="L38" s="118" t="s">
        <v>141</v>
      </c>
      <c r="M38" s="118"/>
      <c r="N38" s="127" t="s">
        <v>734</v>
      </c>
      <c r="O38" s="16" t="s">
        <v>735</v>
      </c>
      <c r="P38" s="147"/>
      <c r="Q38" s="147"/>
      <c r="R38" s="147"/>
      <c r="S38" s="147"/>
      <c r="T38" s="147"/>
      <c r="U38" s="217"/>
      <c r="V38" s="147"/>
      <c r="W38" s="147"/>
      <c r="X38" s="154"/>
      <c r="Y38" s="147"/>
      <c r="Z38" s="150"/>
      <c r="AA38" s="151"/>
      <c r="AB38" s="150"/>
      <c r="AC38" s="151"/>
      <c r="AD38" s="152"/>
      <c r="AE38" s="153"/>
      <c r="AF38" s="148"/>
      <c r="AG38" s="147"/>
      <c r="AH38" s="147"/>
    </row>
    <row r="39" spans="4:34" ht="18" hidden="1" customHeight="1">
      <c r="D39" s="13">
        <v>29</v>
      </c>
      <c r="E39" s="13" t="s">
        <v>414</v>
      </c>
      <c r="F39" s="15" t="s">
        <v>156</v>
      </c>
      <c r="G39" s="118" t="s">
        <v>123</v>
      </c>
      <c r="H39" s="126" t="s">
        <v>168</v>
      </c>
      <c r="I39" s="14">
        <v>46157</v>
      </c>
      <c r="J39" s="48">
        <v>46157.611111111109</v>
      </c>
      <c r="K39" s="118" t="s">
        <v>104</v>
      </c>
      <c r="L39" s="118" t="s">
        <v>140</v>
      </c>
      <c r="M39" s="118" t="s">
        <v>143</v>
      </c>
      <c r="N39" s="127" t="s">
        <v>370</v>
      </c>
      <c r="O39" s="16" t="s">
        <v>736</v>
      </c>
      <c r="P39" s="147"/>
      <c r="Q39" s="147"/>
      <c r="R39" s="147"/>
      <c r="S39" s="147"/>
      <c r="T39" s="147"/>
      <c r="U39" s="217"/>
      <c r="V39" s="147"/>
      <c r="W39" s="147"/>
      <c r="X39" s="154"/>
      <c r="Y39" s="147"/>
      <c r="Z39" s="150"/>
      <c r="AA39" s="151"/>
      <c r="AB39" s="150"/>
      <c r="AC39" s="151"/>
      <c r="AD39" s="152"/>
      <c r="AE39" s="153"/>
      <c r="AF39" s="148"/>
      <c r="AG39" s="147"/>
      <c r="AH39" s="147"/>
    </row>
    <row r="40" spans="4:34" ht="18" hidden="1" customHeight="1">
      <c r="D40" s="15">
        <v>30</v>
      </c>
      <c r="E40" s="13" t="s">
        <v>415</v>
      </c>
      <c r="F40" s="15" t="s">
        <v>156</v>
      </c>
      <c r="G40" s="118" t="s">
        <v>124</v>
      </c>
      <c r="H40" s="126" t="s">
        <v>167</v>
      </c>
      <c r="I40" s="14">
        <v>46157</v>
      </c>
      <c r="J40" s="48">
        <v>0.63958333333333328</v>
      </c>
      <c r="K40" s="118" t="s">
        <v>104</v>
      </c>
      <c r="L40" s="118" t="s">
        <v>140</v>
      </c>
      <c r="M40" s="118"/>
      <c r="N40" s="127" t="s">
        <v>737</v>
      </c>
      <c r="O40" s="16" t="s">
        <v>738</v>
      </c>
      <c r="P40" s="147"/>
      <c r="Q40" s="147"/>
      <c r="R40" s="147"/>
      <c r="S40" s="147"/>
      <c r="T40" s="147"/>
      <c r="U40" s="217"/>
      <c r="V40" s="147"/>
      <c r="W40" s="147"/>
      <c r="X40" s="154"/>
      <c r="Y40" s="147"/>
      <c r="Z40" s="150"/>
      <c r="AA40" s="151"/>
      <c r="AB40" s="150"/>
      <c r="AC40" s="151"/>
      <c r="AD40" s="152"/>
      <c r="AE40" s="153"/>
      <c r="AF40" s="148"/>
      <c r="AG40" s="147"/>
      <c r="AH40" s="147"/>
    </row>
    <row r="41" spans="4:34" ht="18" hidden="1" customHeight="1">
      <c r="D41" s="13">
        <v>31</v>
      </c>
      <c r="E41" s="13" t="s">
        <v>416</v>
      </c>
      <c r="F41" s="15" t="s">
        <v>153</v>
      </c>
      <c r="G41" s="118" t="s">
        <v>100</v>
      </c>
      <c r="H41" s="126" t="s">
        <v>228</v>
      </c>
      <c r="I41" s="14">
        <v>46158</v>
      </c>
      <c r="J41" s="48">
        <v>0.35069444444444442</v>
      </c>
      <c r="K41" s="118" t="s">
        <v>104</v>
      </c>
      <c r="L41" s="118" t="s">
        <v>140</v>
      </c>
      <c r="M41" s="118" t="s">
        <v>144</v>
      </c>
      <c r="N41" s="127" t="s">
        <v>108</v>
      </c>
      <c r="O41" s="16" t="s">
        <v>739</v>
      </c>
      <c r="P41" s="147"/>
      <c r="Q41" s="147"/>
      <c r="R41" s="147"/>
      <c r="S41" s="147"/>
      <c r="T41" s="147"/>
      <c r="U41" s="217"/>
      <c r="V41" s="147"/>
      <c r="W41" s="147"/>
      <c r="X41" s="154"/>
      <c r="Y41" s="147"/>
      <c r="Z41" s="150"/>
      <c r="AA41" s="151"/>
      <c r="AB41" s="150"/>
      <c r="AC41" s="151"/>
      <c r="AD41" s="152"/>
      <c r="AE41" s="153"/>
      <c r="AF41" s="148"/>
      <c r="AG41" s="147"/>
      <c r="AH41" s="147"/>
    </row>
    <row r="42" spans="4:34" ht="18" hidden="1" customHeight="1">
      <c r="D42" s="15">
        <v>32</v>
      </c>
      <c r="E42" s="13" t="s">
        <v>417</v>
      </c>
      <c r="F42" s="15" t="s">
        <v>155</v>
      </c>
      <c r="G42" s="118" t="s">
        <v>100</v>
      </c>
      <c r="H42" s="126" t="s">
        <v>228</v>
      </c>
      <c r="I42" s="14">
        <v>46158</v>
      </c>
      <c r="J42" s="48">
        <v>0.3527777777777778</v>
      </c>
      <c r="K42" s="118" t="s">
        <v>139</v>
      </c>
      <c r="L42" s="118" t="s">
        <v>378</v>
      </c>
      <c r="M42" s="118"/>
      <c r="N42" s="127" t="s">
        <v>740</v>
      </c>
      <c r="O42" s="127" t="s">
        <v>741</v>
      </c>
      <c r="P42" s="147"/>
      <c r="Q42" s="147"/>
      <c r="R42" s="147"/>
      <c r="S42" s="147"/>
      <c r="T42" s="147"/>
      <c r="U42" s="217"/>
      <c r="V42" s="147"/>
      <c r="W42" s="147"/>
      <c r="X42" s="154"/>
      <c r="Y42" s="147"/>
      <c r="Z42" s="150"/>
      <c r="AA42" s="151"/>
      <c r="AB42" s="150"/>
      <c r="AC42" s="151"/>
      <c r="AD42" s="152"/>
      <c r="AE42" s="153"/>
      <c r="AF42" s="148"/>
      <c r="AG42" s="147"/>
      <c r="AH42" s="147"/>
    </row>
    <row r="43" spans="4:34" ht="18" hidden="1" customHeight="1">
      <c r="D43" s="13">
        <v>33</v>
      </c>
      <c r="E43" s="13" t="s">
        <v>418</v>
      </c>
      <c r="F43" s="15" t="s">
        <v>155</v>
      </c>
      <c r="G43" s="118" t="s">
        <v>100</v>
      </c>
      <c r="H43" s="126" t="s">
        <v>228</v>
      </c>
      <c r="I43" s="14">
        <v>46158</v>
      </c>
      <c r="J43" s="48">
        <v>0.35416666666666669</v>
      </c>
      <c r="K43" s="118" t="s">
        <v>139</v>
      </c>
      <c r="L43" s="118" t="s">
        <v>141</v>
      </c>
      <c r="M43" s="118"/>
      <c r="N43" s="127" t="s">
        <v>742</v>
      </c>
      <c r="O43" s="127" t="s">
        <v>742</v>
      </c>
      <c r="P43" s="154" t="s">
        <v>173</v>
      </c>
      <c r="Q43" s="154" t="s">
        <v>747</v>
      </c>
      <c r="R43" s="147" t="s">
        <v>289</v>
      </c>
      <c r="S43" s="147"/>
      <c r="T43" s="147" t="s">
        <v>750</v>
      </c>
      <c r="U43" s="154" t="s">
        <v>748</v>
      </c>
      <c r="V43" s="147" t="s">
        <v>203</v>
      </c>
      <c r="W43" s="147"/>
      <c r="X43" s="154" t="s">
        <v>208</v>
      </c>
      <c r="Y43" s="147"/>
      <c r="Z43" s="150" t="s">
        <v>749</v>
      </c>
      <c r="AA43" s="151">
        <v>11.458333333333334</v>
      </c>
      <c r="AB43" s="150" t="s">
        <v>749</v>
      </c>
      <c r="AC43" s="151">
        <v>11.458333333333334</v>
      </c>
      <c r="AD43" s="152"/>
      <c r="AE43" s="153"/>
      <c r="AF43" s="148" t="s">
        <v>228</v>
      </c>
      <c r="AG43" s="147" t="s">
        <v>80</v>
      </c>
      <c r="AH43" s="147"/>
    </row>
    <row r="44" spans="4:34" ht="18" hidden="1" customHeight="1">
      <c r="D44" s="15">
        <v>34</v>
      </c>
      <c r="E44" s="13" t="s">
        <v>419</v>
      </c>
      <c r="F44" s="15" t="s">
        <v>155</v>
      </c>
      <c r="G44" s="118" t="s">
        <v>100</v>
      </c>
      <c r="H44" s="126" t="s">
        <v>228</v>
      </c>
      <c r="I44" s="14">
        <v>46158</v>
      </c>
      <c r="J44" s="48">
        <v>0.3576388888888889</v>
      </c>
      <c r="K44" s="118" t="s">
        <v>139</v>
      </c>
      <c r="L44" s="118" t="s">
        <v>141</v>
      </c>
      <c r="M44" s="118"/>
      <c r="N44" s="127" t="s">
        <v>743</v>
      </c>
      <c r="O44" s="127" t="s">
        <v>743</v>
      </c>
      <c r="P44" s="147"/>
      <c r="Q44" s="147"/>
      <c r="R44" s="147"/>
      <c r="S44" s="147"/>
      <c r="T44" s="147"/>
      <c r="U44" s="217"/>
      <c r="V44" s="147"/>
      <c r="W44" s="147"/>
      <c r="X44" s="154"/>
      <c r="Y44" s="147"/>
      <c r="Z44" s="150"/>
      <c r="AA44" s="151"/>
      <c r="AB44" s="150"/>
      <c r="AC44" s="151"/>
      <c r="AD44" s="152"/>
      <c r="AE44" s="153"/>
      <c r="AF44" s="148"/>
      <c r="AG44" s="147"/>
      <c r="AH44" s="147"/>
    </row>
    <row r="45" spans="4:34" ht="18" hidden="1" customHeight="1">
      <c r="D45" s="13">
        <v>35</v>
      </c>
      <c r="E45" s="13" t="s">
        <v>420</v>
      </c>
      <c r="F45" s="15" t="s">
        <v>155</v>
      </c>
      <c r="G45" s="118" t="s">
        <v>100</v>
      </c>
      <c r="H45" s="126" t="s">
        <v>228</v>
      </c>
      <c r="I45" s="14">
        <v>46158</v>
      </c>
      <c r="J45" s="48">
        <v>0.46527777777777779</v>
      </c>
      <c r="K45" s="118"/>
      <c r="L45" s="118"/>
      <c r="M45" s="118"/>
      <c r="N45" s="127" t="s">
        <v>744</v>
      </c>
      <c r="O45" s="127" t="s">
        <v>745</v>
      </c>
      <c r="P45" s="147" t="s">
        <v>173</v>
      </c>
      <c r="Q45" s="147" t="s">
        <v>792</v>
      </c>
      <c r="R45" s="147" t="s">
        <v>289</v>
      </c>
      <c r="S45" s="147"/>
      <c r="T45" s="147"/>
      <c r="U45" s="217"/>
      <c r="V45" s="147" t="s">
        <v>203</v>
      </c>
      <c r="W45" s="147"/>
      <c r="X45" s="154" t="s">
        <v>208</v>
      </c>
      <c r="Y45" s="147"/>
      <c r="Z45" s="150" t="s">
        <v>793</v>
      </c>
      <c r="AA45" s="248" t="s">
        <v>794</v>
      </c>
      <c r="AB45" s="150" t="s">
        <v>793</v>
      </c>
      <c r="AC45" s="152" t="s">
        <v>795</v>
      </c>
      <c r="AD45" s="152"/>
      <c r="AE45" s="153"/>
      <c r="AF45" s="148" t="s">
        <v>228</v>
      </c>
      <c r="AG45" s="147" t="s">
        <v>80</v>
      </c>
      <c r="AH45" s="147"/>
    </row>
    <row r="46" spans="4:34" ht="18" hidden="1" customHeight="1">
      <c r="D46" s="15">
        <v>36</v>
      </c>
      <c r="E46" s="13" t="s">
        <v>421</v>
      </c>
      <c r="F46" s="15" t="s">
        <v>153</v>
      </c>
      <c r="G46" s="118" t="s">
        <v>125</v>
      </c>
      <c r="H46" s="126" t="s">
        <v>162</v>
      </c>
      <c r="I46" s="14">
        <v>46160</v>
      </c>
      <c r="J46" s="48">
        <v>0.60486111111111107</v>
      </c>
      <c r="K46" s="118" t="s">
        <v>139</v>
      </c>
      <c r="L46" s="118" t="s">
        <v>140</v>
      </c>
      <c r="M46" s="118" t="s">
        <v>144</v>
      </c>
      <c r="N46" s="127" t="s">
        <v>755</v>
      </c>
      <c r="O46" s="16" t="s">
        <v>756</v>
      </c>
      <c r="P46" s="147"/>
      <c r="Q46" s="147"/>
      <c r="R46" s="147"/>
      <c r="S46" s="147"/>
      <c r="T46" s="147"/>
      <c r="U46" s="217"/>
      <c r="V46" s="147"/>
      <c r="W46" s="147"/>
      <c r="X46" s="154"/>
      <c r="Y46" s="147"/>
      <c r="Z46" s="150"/>
      <c r="AA46" s="215"/>
      <c r="AB46" s="150"/>
      <c r="AC46" s="215"/>
      <c r="AD46" s="152"/>
      <c r="AE46" s="153"/>
      <c r="AF46" s="148"/>
      <c r="AG46" s="147"/>
      <c r="AH46" s="147"/>
    </row>
    <row r="47" spans="4:34" ht="18" hidden="1" customHeight="1">
      <c r="D47" s="13">
        <v>37</v>
      </c>
      <c r="E47" s="13" t="s">
        <v>422</v>
      </c>
      <c r="F47" s="15" t="s">
        <v>156</v>
      </c>
      <c r="G47" s="118" t="s">
        <v>123</v>
      </c>
      <c r="H47" s="126" t="s">
        <v>168</v>
      </c>
      <c r="I47" s="14">
        <v>46160</v>
      </c>
      <c r="J47" s="48">
        <v>46160.638888888891</v>
      </c>
      <c r="K47" s="118" t="s">
        <v>104</v>
      </c>
      <c r="L47" s="118" t="s">
        <v>140</v>
      </c>
      <c r="M47" s="118" t="s">
        <v>289</v>
      </c>
      <c r="N47" s="127" t="s">
        <v>722</v>
      </c>
      <c r="O47" s="16" t="s">
        <v>757</v>
      </c>
      <c r="P47" s="147"/>
      <c r="Q47" s="147"/>
      <c r="R47" s="147"/>
      <c r="S47" s="147"/>
      <c r="T47" s="147"/>
      <c r="U47" s="217"/>
      <c r="V47" s="147"/>
      <c r="W47" s="147"/>
      <c r="X47" s="154"/>
      <c r="Y47" s="147"/>
      <c r="Z47" s="150"/>
      <c r="AA47" s="151"/>
      <c r="AB47" s="150"/>
      <c r="AC47" s="151"/>
      <c r="AD47" s="152"/>
      <c r="AE47" s="153"/>
      <c r="AF47" s="148"/>
      <c r="AG47" s="147"/>
      <c r="AH47" s="147"/>
    </row>
    <row r="48" spans="4:34" ht="18" hidden="1" customHeight="1">
      <c r="D48" s="15">
        <v>38</v>
      </c>
      <c r="E48" s="13" t="s">
        <v>423</v>
      </c>
      <c r="F48" s="15" t="s">
        <v>153</v>
      </c>
      <c r="G48" s="118" t="s">
        <v>125</v>
      </c>
      <c r="H48" s="126" t="s">
        <v>710</v>
      </c>
      <c r="I48" s="14">
        <v>46161</v>
      </c>
      <c r="J48" s="48">
        <v>46161.549305555556</v>
      </c>
      <c r="K48" s="118" t="s">
        <v>139</v>
      </c>
      <c r="L48" s="118" t="s">
        <v>140</v>
      </c>
      <c r="M48" s="118"/>
      <c r="N48" s="127" t="s">
        <v>758</v>
      </c>
      <c r="O48" s="16" t="s">
        <v>759</v>
      </c>
      <c r="P48" s="147"/>
      <c r="Q48" s="147"/>
      <c r="R48" s="147"/>
      <c r="S48" s="147"/>
      <c r="T48" s="147"/>
      <c r="U48" s="217"/>
      <c r="V48" s="147"/>
      <c r="W48" s="147"/>
      <c r="X48" s="154"/>
      <c r="Y48" s="147"/>
      <c r="Z48" s="150"/>
      <c r="AA48" s="151"/>
      <c r="AB48" s="150"/>
      <c r="AC48" s="151"/>
      <c r="AD48" s="152"/>
      <c r="AE48" s="153"/>
      <c r="AF48" s="148"/>
      <c r="AG48" s="147"/>
      <c r="AH48" s="147"/>
    </row>
    <row r="49" spans="4:34" ht="18" hidden="1" customHeight="1">
      <c r="D49" s="13">
        <v>39</v>
      </c>
      <c r="E49" s="13" t="s">
        <v>424</v>
      </c>
      <c r="F49" s="15" t="s">
        <v>155</v>
      </c>
      <c r="G49" s="118" t="s">
        <v>125</v>
      </c>
      <c r="H49" s="126" t="s">
        <v>710</v>
      </c>
      <c r="I49" s="14">
        <v>46161</v>
      </c>
      <c r="J49" s="48">
        <v>46161.549305555556</v>
      </c>
      <c r="K49" s="118" t="s">
        <v>139</v>
      </c>
      <c r="L49" s="118" t="s">
        <v>140</v>
      </c>
      <c r="M49" s="118"/>
      <c r="N49" s="127" t="s">
        <v>713</v>
      </c>
      <c r="O49" s="16" t="s">
        <v>760</v>
      </c>
      <c r="P49" s="147" t="s">
        <v>173</v>
      </c>
      <c r="Q49" s="147" t="s">
        <v>786</v>
      </c>
      <c r="R49" s="147" t="s">
        <v>289</v>
      </c>
      <c r="S49" s="147"/>
      <c r="T49" s="147" t="s">
        <v>787</v>
      </c>
      <c r="U49" s="217" t="s">
        <v>788</v>
      </c>
      <c r="V49" s="147" t="s">
        <v>203</v>
      </c>
      <c r="W49" s="147"/>
      <c r="X49" s="154" t="s">
        <v>208</v>
      </c>
      <c r="Y49" s="147"/>
      <c r="Z49" s="150" t="s">
        <v>771</v>
      </c>
      <c r="AA49" s="151">
        <v>0.875</v>
      </c>
      <c r="AB49" s="150" t="s">
        <v>771</v>
      </c>
      <c r="AC49" s="151">
        <v>0.91666666666666663</v>
      </c>
      <c r="AD49" s="152"/>
      <c r="AE49" s="153"/>
      <c r="AF49" s="247" t="s">
        <v>710</v>
      </c>
      <c r="AG49" s="147" t="s">
        <v>164</v>
      </c>
      <c r="AH49" s="147"/>
    </row>
    <row r="50" spans="4:34" ht="18" hidden="1" customHeight="1">
      <c r="D50" s="15">
        <v>40</v>
      </c>
      <c r="E50" s="13" t="s">
        <v>425</v>
      </c>
      <c r="F50" s="15" t="s">
        <v>153</v>
      </c>
      <c r="G50" s="118" t="s">
        <v>125</v>
      </c>
      <c r="H50" s="126" t="s">
        <v>710</v>
      </c>
      <c r="I50" s="14">
        <v>46161</v>
      </c>
      <c r="J50" s="48">
        <v>46161.549305555556</v>
      </c>
      <c r="K50" s="118" t="s">
        <v>139</v>
      </c>
      <c r="L50" s="118" t="s">
        <v>140</v>
      </c>
      <c r="M50" s="118"/>
      <c r="N50" s="127" t="s">
        <v>761</v>
      </c>
      <c r="O50" s="16" t="s">
        <v>762</v>
      </c>
      <c r="P50" s="147"/>
      <c r="Q50" s="147"/>
      <c r="R50" s="147"/>
      <c r="S50" s="147"/>
      <c r="T50" s="147"/>
      <c r="U50" s="217"/>
      <c r="V50" s="147"/>
      <c r="W50" s="147"/>
      <c r="X50" s="154"/>
      <c r="Y50" s="147"/>
      <c r="Z50" s="150"/>
      <c r="AA50" s="151"/>
      <c r="AB50" s="150"/>
      <c r="AC50" s="151"/>
      <c r="AD50" s="152"/>
      <c r="AE50" s="153"/>
      <c r="AF50" s="148"/>
      <c r="AG50" s="147"/>
      <c r="AH50" s="147"/>
    </row>
    <row r="51" spans="4:34" ht="18" hidden="1" customHeight="1">
      <c r="D51" s="13">
        <v>41</v>
      </c>
      <c r="E51" s="13" t="s">
        <v>426</v>
      </c>
      <c r="F51" s="15" t="s">
        <v>155</v>
      </c>
      <c r="G51" s="118" t="s">
        <v>125</v>
      </c>
      <c r="H51" s="126" t="s">
        <v>710</v>
      </c>
      <c r="I51" s="14">
        <v>46161</v>
      </c>
      <c r="J51" s="48">
        <v>46161.549305555556</v>
      </c>
      <c r="K51" s="118" t="s">
        <v>139</v>
      </c>
      <c r="L51" s="118" t="s">
        <v>140</v>
      </c>
      <c r="M51" s="118"/>
      <c r="N51" s="127" t="s">
        <v>763</v>
      </c>
      <c r="O51" s="16" t="s">
        <v>764</v>
      </c>
      <c r="P51" s="147" t="s">
        <v>173</v>
      </c>
      <c r="Q51" s="147" t="s">
        <v>768</v>
      </c>
      <c r="R51" s="147" t="s">
        <v>289</v>
      </c>
      <c r="S51" s="147"/>
      <c r="T51" s="147" t="s">
        <v>769</v>
      </c>
      <c r="U51" s="217" t="s">
        <v>770</v>
      </c>
      <c r="V51" s="147" t="s">
        <v>203</v>
      </c>
      <c r="W51" s="147"/>
      <c r="X51" s="154" t="s">
        <v>208</v>
      </c>
      <c r="Y51" s="147"/>
      <c r="Z51" s="150" t="s">
        <v>771</v>
      </c>
      <c r="AA51" s="151">
        <v>0.70833333333333337</v>
      </c>
      <c r="AB51" s="150" t="s">
        <v>771</v>
      </c>
      <c r="AC51" s="151">
        <v>0.75</v>
      </c>
      <c r="AD51" s="152"/>
      <c r="AE51" s="153"/>
      <c r="AF51" s="247" t="s">
        <v>710</v>
      </c>
      <c r="AG51" s="147" t="s">
        <v>80</v>
      </c>
      <c r="AH51" s="147"/>
    </row>
    <row r="52" spans="4:34" ht="18" hidden="1" customHeight="1">
      <c r="D52" s="15">
        <v>42</v>
      </c>
      <c r="E52" s="13" t="s">
        <v>427</v>
      </c>
      <c r="F52" s="15" t="s">
        <v>153</v>
      </c>
      <c r="G52" s="118" t="s">
        <v>103</v>
      </c>
      <c r="H52" s="126" t="s">
        <v>160</v>
      </c>
      <c r="I52" s="14">
        <v>46161</v>
      </c>
      <c r="J52" s="48">
        <v>0.65277777777777779</v>
      </c>
      <c r="K52" s="118" t="s">
        <v>104</v>
      </c>
      <c r="L52" s="118" t="s">
        <v>140</v>
      </c>
      <c r="M52" s="118" t="s">
        <v>144</v>
      </c>
      <c r="N52" s="127" t="s">
        <v>113</v>
      </c>
      <c r="O52" s="16" t="s">
        <v>765</v>
      </c>
      <c r="P52" s="147"/>
      <c r="Q52" s="147"/>
      <c r="R52" s="147"/>
      <c r="S52" s="147"/>
      <c r="T52" s="147"/>
      <c r="U52" s="217"/>
      <c r="V52" s="147"/>
      <c r="W52" s="147"/>
      <c r="X52" s="154"/>
      <c r="Y52" s="147"/>
      <c r="Z52" s="150"/>
      <c r="AA52" s="151"/>
      <c r="AB52" s="150"/>
      <c r="AC52" s="151"/>
      <c r="AD52" s="152"/>
      <c r="AE52" s="153"/>
      <c r="AF52" s="148"/>
      <c r="AG52" s="147"/>
      <c r="AH52" s="147"/>
    </row>
    <row r="53" spans="4:34" ht="18" hidden="1" customHeight="1">
      <c r="D53" s="13">
        <v>43</v>
      </c>
      <c r="E53" s="13" t="s">
        <v>428</v>
      </c>
      <c r="F53" s="15" t="s">
        <v>153</v>
      </c>
      <c r="G53" s="118" t="s">
        <v>103</v>
      </c>
      <c r="H53" s="126" t="s">
        <v>160</v>
      </c>
      <c r="I53" s="14">
        <v>46161</v>
      </c>
      <c r="J53" s="48" t="s">
        <v>766</v>
      </c>
      <c r="K53" s="118" t="s">
        <v>104</v>
      </c>
      <c r="L53" s="118" t="s">
        <v>141</v>
      </c>
      <c r="M53" s="118" t="s">
        <v>144</v>
      </c>
      <c r="N53" s="127" t="s">
        <v>114</v>
      </c>
      <c r="O53" s="16" t="s">
        <v>767</v>
      </c>
      <c r="P53" s="147"/>
      <c r="Q53" s="147"/>
      <c r="R53" s="147"/>
      <c r="S53" s="147"/>
      <c r="T53" s="147"/>
      <c r="U53" s="217"/>
      <c r="V53" s="147"/>
      <c r="W53" s="147"/>
      <c r="X53" s="154"/>
      <c r="Y53" s="147"/>
      <c r="Z53" s="150"/>
      <c r="AA53" s="151"/>
      <c r="AB53" s="150"/>
      <c r="AC53" s="151"/>
      <c r="AD53" s="152"/>
      <c r="AE53" s="153"/>
      <c r="AF53" s="148"/>
      <c r="AG53" s="147"/>
      <c r="AH53" s="147"/>
    </row>
    <row r="54" spans="4:34" ht="18" hidden="1" customHeight="1">
      <c r="D54" s="15">
        <v>44</v>
      </c>
      <c r="E54" s="13" t="s">
        <v>429</v>
      </c>
      <c r="F54" s="15" t="s">
        <v>156</v>
      </c>
      <c r="G54" s="118" t="s">
        <v>102</v>
      </c>
      <c r="H54" s="126" t="s">
        <v>159</v>
      </c>
      <c r="I54" s="14">
        <v>46162</v>
      </c>
      <c r="J54" s="48">
        <v>0.5083333333333333</v>
      </c>
      <c r="K54" s="118" t="s">
        <v>139</v>
      </c>
      <c r="L54" s="118" t="s">
        <v>140</v>
      </c>
      <c r="M54" s="118" t="s">
        <v>144</v>
      </c>
      <c r="N54" s="127" t="s">
        <v>772</v>
      </c>
      <c r="O54" s="16" t="s">
        <v>773</v>
      </c>
      <c r="P54" s="147"/>
      <c r="Q54" s="147"/>
      <c r="R54" s="147"/>
      <c r="S54" s="147"/>
      <c r="T54" s="147"/>
      <c r="U54" s="217"/>
      <c r="V54" s="147"/>
      <c r="W54" s="147"/>
      <c r="X54" s="154"/>
      <c r="Y54" s="147"/>
      <c r="Z54" s="150"/>
      <c r="AA54" s="151"/>
      <c r="AB54" s="150"/>
      <c r="AC54" s="151"/>
      <c r="AD54" s="152"/>
      <c r="AE54" s="153"/>
      <c r="AF54" s="148"/>
      <c r="AG54" s="147"/>
      <c r="AH54" s="147"/>
    </row>
    <row r="55" spans="4:34" ht="18" hidden="1" customHeight="1">
      <c r="D55" s="13">
        <v>45</v>
      </c>
      <c r="E55" s="13" t="s">
        <v>430</v>
      </c>
      <c r="F55" s="15" t="s">
        <v>156</v>
      </c>
      <c r="G55" s="118" t="s">
        <v>102</v>
      </c>
      <c r="H55" s="126" t="s">
        <v>159</v>
      </c>
      <c r="I55" s="14">
        <v>46162</v>
      </c>
      <c r="J55" s="48">
        <v>0.51041666666666663</v>
      </c>
      <c r="K55" s="118" t="s">
        <v>139</v>
      </c>
      <c r="L55" s="118" t="s">
        <v>141</v>
      </c>
      <c r="M55" s="118" t="s">
        <v>144</v>
      </c>
      <c r="N55" s="127" t="s">
        <v>730</v>
      </c>
      <c r="O55" s="16" t="s">
        <v>774</v>
      </c>
      <c r="P55" s="147"/>
      <c r="Q55" s="147"/>
      <c r="R55" s="147"/>
      <c r="S55" s="147"/>
      <c r="T55" s="147"/>
      <c r="U55" s="217"/>
      <c r="V55" s="147"/>
      <c r="W55" s="147"/>
      <c r="X55" s="154"/>
      <c r="Y55" s="147"/>
      <c r="Z55" s="150"/>
      <c r="AA55" s="151"/>
      <c r="AB55" s="150"/>
      <c r="AC55" s="151"/>
      <c r="AD55" s="152"/>
      <c r="AE55" s="153"/>
      <c r="AF55" s="148"/>
      <c r="AG55" s="147"/>
      <c r="AH55" s="147"/>
    </row>
    <row r="56" spans="4:34" ht="18" hidden="1" customHeight="1">
      <c r="D56" s="15">
        <v>46</v>
      </c>
      <c r="E56" s="13" t="s">
        <v>431</v>
      </c>
      <c r="F56" s="15" t="s">
        <v>156</v>
      </c>
      <c r="G56" s="118" t="s">
        <v>123</v>
      </c>
      <c r="H56" s="126" t="s">
        <v>168</v>
      </c>
      <c r="I56" s="14">
        <v>46162</v>
      </c>
      <c r="J56" s="48">
        <v>46163.9375</v>
      </c>
      <c r="K56" s="118" t="s">
        <v>104</v>
      </c>
      <c r="L56" s="118" t="s">
        <v>140</v>
      </c>
      <c r="M56" s="118" t="s">
        <v>143</v>
      </c>
      <c r="N56" s="127" t="s">
        <v>775</v>
      </c>
      <c r="O56" s="16" t="s">
        <v>776</v>
      </c>
      <c r="P56" s="147"/>
      <c r="Q56" s="147"/>
      <c r="R56" s="147"/>
      <c r="S56" s="147"/>
      <c r="T56" s="147"/>
      <c r="U56" s="217"/>
      <c r="V56" s="147"/>
      <c r="W56" s="147"/>
      <c r="X56" s="154"/>
      <c r="Y56" s="147"/>
      <c r="Z56" s="150"/>
      <c r="AA56" s="151"/>
      <c r="AB56" s="150"/>
      <c r="AC56" s="151"/>
      <c r="AD56" s="152"/>
      <c r="AE56" s="153"/>
      <c r="AF56" s="148"/>
      <c r="AG56" s="147"/>
      <c r="AH56" s="147"/>
    </row>
    <row r="57" spans="4:34" ht="18" hidden="1" customHeight="1">
      <c r="D57" s="13">
        <v>47</v>
      </c>
      <c r="E57" s="13" t="s">
        <v>432</v>
      </c>
      <c r="F57" s="15" t="s">
        <v>153</v>
      </c>
      <c r="G57" s="118" t="s">
        <v>231</v>
      </c>
      <c r="H57" s="126" t="s">
        <v>777</v>
      </c>
      <c r="I57" s="14">
        <v>46163</v>
      </c>
      <c r="J57" s="48" t="s">
        <v>778</v>
      </c>
      <c r="K57" s="118" t="s">
        <v>139</v>
      </c>
      <c r="L57" s="118" t="s">
        <v>140</v>
      </c>
      <c r="M57" s="118" t="s">
        <v>144</v>
      </c>
      <c r="N57" s="127" t="s">
        <v>779</v>
      </c>
      <c r="O57" s="16" t="s">
        <v>780</v>
      </c>
      <c r="P57" s="147"/>
      <c r="Q57" s="147"/>
      <c r="R57" s="147"/>
      <c r="S57" s="147"/>
      <c r="T57" s="147"/>
      <c r="U57" s="217"/>
      <c r="V57" s="147"/>
      <c r="W57" s="147"/>
      <c r="X57" s="154"/>
      <c r="Y57" s="147"/>
      <c r="Z57" s="150"/>
      <c r="AA57" s="151"/>
      <c r="AB57" s="150"/>
      <c r="AC57" s="151"/>
      <c r="AD57" s="152"/>
      <c r="AE57" s="153"/>
      <c r="AF57" s="148"/>
      <c r="AG57" s="147"/>
      <c r="AH57" s="147"/>
    </row>
    <row r="58" spans="4:34" ht="18" hidden="1" customHeight="1">
      <c r="D58" s="15">
        <v>48</v>
      </c>
      <c r="E58" s="13" t="s">
        <v>433</v>
      </c>
      <c r="F58" s="15" t="s">
        <v>156</v>
      </c>
      <c r="G58" s="118" t="s">
        <v>124</v>
      </c>
      <c r="H58" s="126" t="s">
        <v>167</v>
      </c>
      <c r="I58" s="14">
        <v>46163</v>
      </c>
      <c r="J58" s="48">
        <v>0.44374999999999998</v>
      </c>
      <c r="K58" s="118" t="s">
        <v>139</v>
      </c>
      <c r="L58" s="118" t="s">
        <v>142</v>
      </c>
      <c r="M58" s="118" t="s">
        <v>289</v>
      </c>
      <c r="N58" s="127" t="s">
        <v>781</v>
      </c>
      <c r="O58" s="16" t="s">
        <v>782</v>
      </c>
      <c r="P58" s="147"/>
      <c r="Q58" s="147"/>
      <c r="R58" s="147"/>
      <c r="S58" s="147"/>
      <c r="T58" s="147"/>
      <c r="U58" s="217"/>
      <c r="V58" s="147"/>
      <c r="W58" s="147"/>
      <c r="X58" s="154"/>
      <c r="Y58" s="147"/>
      <c r="Z58" s="150"/>
      <c r="AA58" s="151"/>
      <c r="AB58" s="150"/>
      <c r="AC58" s="151"/>
      <c r="AD58" s="152"/>
      <c r="AE58" s="153"/>
      <c r="AF58" s="148"/>
      <c r="AG58" s="147"/>
      <c r="AH58" s="147"/>
    </row>
    <row r="59" spans="4:34" ht="18" hidden="1" customHeight="1">
      <c r="D59" s="13">
        <v>49</v>
      </c>
      <c r="E59" s="13" t="s">
        <v>434</v>
      </c>
      <c r="F59" s="15" t="s">
        <v>155</v>
      </c>
      <c r="G59" s="118" t="s">
        <v>100</v>
      </c>
      <c r="H59" s="126" t="s">
        <v>228</v>
      </c>
      <c r="I59" s="14">
        <v>46163</v>
      </c>
      <c r="J59" s="48" t="s">
        <v>784</v>
      </c>
      <c r="K59" s="118" t="s">
        <v>139</v>
      </c>
      <c r="L59" s="118" t="s">
        <v>378</v>
      </c>
      <c r="M59" s="118" t="s">
        <v>289</v>
      </c>
      <c r="N59" s="127" t="s">
        <v>108</v>
      </c>
      <c r="O59" s="127" t="s">
        <v>783</v>
      </c>
      <c r="P59" s="147"/>
      <c r="Q59" s="147"/>
      <c r="R59" s="147"/>
      <c r="S59" s="147"/>
      <c r="T59" s="147"/>
      <c r="U59" s="217"/>
      <c r="V59" s="147"/>
      <c r="W59" s="147"/>
      <c r="X59" s="154"/>
      <c r="Y59" s="147"/>
      <c r="Z59" s="150"/>
      <c r="AA59" s="151"/>
      <c r="AB59" s="150"/>
      <c r="AC59" s="151"/>
      <c r="AD59" s="152"/>
      <c r="AE59" s="153"/>
      <c r="AF59" s="148"/>
      <c r="AG59" s="147"/>
      <c r="AH59" s="147"/>
    </row>
    <row r="60" spans="4:34" ht="18" hidden="1" customHeight="1">
      <c r="D60" s="15">
        <v>50</v>
      </c>
      <c r="E60" s="13" t="s">
        <v>435</v>
      </c>
      <c r="F60" s="15" t="s">
        <v>153</v>
      </c>
      <c r="G60" s="118" t="s">
        <v>100</v>
      </c>
      <c r="H60" s="126" t="s">
        <v>228</v>
      </c>
      <c r="I60" s="14">
        <v>46163</v>
      </c>
      <c r="J60" s="48">
        <v>0.60555555555555551</v>
      </c>
      <c r="K60" s="118" t="s">
        <v>104</v>
      </c>
      <c r="L60" s="118" t="s">
        <v>140</v>
      </c>
      <c r="M60" s="118"/>
      <c r="N60" s="127" t="s">
        <v>108</v>
      </c>
      <c r="O60" s="16" t="s">
        <v>785</v>
      </c>
      <c r="P60" s="147"/>
      <c r="Q60" s="147"/>
      <c r="R60" s="147"/>
      <c r="S60" s="147"/>
      <c r="T60" s="147"/>
      <c r="U60" s="217"/>
      <c r="V60" s="147"/>
      <c r="W60" s="147"/>
      <c r="X60" s="154"/>
      <c r="Y60" s="147"/>
      <c r="Z60" s="150"/>
      <c r="AA60" s="151"/>
      <c r="AB60" s="150"/>
      <c r="AC60" s="151"/>
      <c r="AD60" s="152"/>
      <c r="AE60" s="153"/>
      <c r="AF60" s="148"/>
      <c r="AG60" s="147"/>
      <c r="AH60" s="147"/>
    </row>
    <row r="61" spans="4:34" ht="18" hidden="1" customHeight="1">
      <c r="D61" s="13">
        <v>51</v>
      </c>
      <c r="E61" s="13" t="s">
        <v>436</v>
      </c>
      <c r="F61" s="15" t="s">
        <v>153</v>
      </c>
      <c r="G61" s="118" t="s">
        <v>125</v>
      </c>
      <c r="H61" s="126" t="s">
        <v>162</v>
      </c>
      <c r="I61" s="14">
        <v>46164</v>
      </c>
      <c r="J61" s="48">
        <v>0.375</v>
      </c>
      <c r="K61" s="118" t="s">
        <v>139</v>
      </c>
      <c r="L61" s="118" t="s">
        <v>378</v>
      </c>
      <c r="M61" s="118"/>
      <c r="N61" s="127"/>
      <c r="O61" s="16" t="s">
        <v>789</v>
      </c>
      <c r="P61" s="147"/>
      <c r="Q61" s="147"/>
      <c r="R61" s="147"/>
      <c r="S61" s="147"/>
      <c r="T61" s="147"/>
      <c r="U61" s="217"/>
      <c r="V61" s="147"/>
      <c r="W61" s="147"/>
      <c r="X61" s="154"/>
      <c r="Y61" s="147"/>
      <c r="Z61" s="150"/>
      <c r="AA61" s="151"/>
      <c r="AB61" s="150"/>
      <c r="AC61" s="151"/>
      <c r="AD61" s="152"/>
      <c r="AE61" s="153"/>
      <c r="AF61" s="148"/>
      <c r="AG61" s="147"/>
      <c r="AH61" s="147"/>
    </row>
    <row r="62" spans="4:34" ht="18" hidden="1" customHeight="1">
      <c r="D62" s="15">
        <v>52</v>
      </c>
      <c r="E62" s="13" t="s">
        <v>437</v>
      </c>
      <c r="F62" s="15" t="s">
        <v>153</v>
      </c>
      <c r="G62" s="118" t="s">
        <v>125</v>
      </c>
      <c r="H62" s="126" t="s">
        <v>162</v>
      </c>
      <c r="I62" s="14">
        <v>46164</v>
      </c>
      <c r="J62" s="48">
        <v>0.38194444444444442</v>
      </c>
      <c r="K62" s="118" t="s">
        <v>139</v>
      </c>
      <c r="L62" s="118" t="s">
        <v>378</v>
      </c>
      <c r="M62" s="118"/>
      <c r="N62" s="127"/>
      <c r="O62" s="16" t="s">
        <v>790</v>
      </c>
      <c r="P62" s="147"/>
      <c r="Q62" s="147"/>
      <c r="R62" s="147"/>
      <c r="S62" s="147"/>
      <c r="T62" s="147"/>
      <c r="U62" s="217"/>
      <c r="V62" s="147"/>
      <c r="W62" s="147"/>
      <c r="X62" s="154"/>
      <c r="Y62" s="147"/>
      <c r="Z62" s="150"/>
      <c r="AA62" s="151"/>
      <c r="AB62" s="150"/>
      <c r="AC62" s="151"/>
      <c r="AD62" s="152"/>
      <c r="AE62" s="153"/>
      <c r="AF62" s="148"/>
      <c r="AG62" s="147"/>
      <c r="AH62" s="147"/>
    </row>
    <row r="63" spans="4:34" ht="18" hidden="1" customHeight="1">
      <c r="D63" s="13">
        <v>53</v>
      </c>
      <c r="E63" s="13" t="s">
        <v>438</v>
      </c>
      <c r="F63" s="15" t="s">
        <v>153</v>
      </c>
      <c r="G63" s="118" t="s">
        <v>125</v>
      </c>
      <c r="H63" s="126" t="s">
        <v>162</v>
      </c>
      <c r="I63" s="14">
        <v>46164</v>
      </c>
      <c r="J63" s="48">
        <v>0.38263888888888886</v>
      </c>
      <c r="K63" s="118" t="s">
        <v>139</v>
      </c>
      <c r="L63" s="118" t="s">
        <v>378</v>
      </c>
      <c r="M63" s="118"/>
      <c r="N63" s="127"/>
      <c r="O63" s="16" t="s">
        <v>791</v>
      </c>
      <c r="P63" s="147"/>
      <c r="Q63" s="147"/>
      <c r="R63" s="147"/>
      <c r="S63" s="147"/>
      <c r="T63" s="147"/>
      <c r="U63" s="217"/>
      <c r="V63" s="147"/>
      <c r="W63" s="147"/>
      <c r="X63" s="154"/>
      <c r="Y63" s="147"/>
      <c r="Z63" s="150"/>
      <c r="AA63" s="151"/>
      <c r="AB63" s="150"/>
      <c r="AC63" s="151"/>
      <c r="AD63" s="152"/>
      <c r="AE63" s="153"/>
      <c r="AF63" s="148"/>
      <c r="AG63" s="147"/>
      <c r="AH63" s="147"/>
    </row>
    <row r="64" spans="4:34" ht="18" hidden="1" customHeight="1">
      <c r="D64" s="15">
        <v>54</v>
      </c>
      <c r="E64" s="13" t="s">
        <v>439</v>
      </c>
      <c r="F64" s="15" t="s">
        <v>156</v>
      </c>
      <c r="G64" s="118" t="s">
        <v>123</v>
      </c>
      <c r="H64" s="126" t="s">
        <v>168</v>
      </c>
      <c r="I64" s="14">
        <v>46167</v>
      </c>
      <c r="J64" s="48">
        <v>46167.305555555555</v>
      </c>
      <c r="K64" s="118" t="s">
        <v>104</v>
      </c>
      <c r="L64" s="118" t="s">
        <v>140</v>
      </c>
      <c r="M64" s="118" t="s">
        <v>143</v>
      </c>
      <c r="N64" s="127" t="s">
        <v>722</v>
      </c>
      <c r="O64" s="16" t="s">
        <v>796</v>
      </c>
      <c r="P64" s="147"/>
      <c r="Q64" s="147"/>
      <c r="R64" s="147"/>
      <c r="S64" s="147"/>
      <c r="T64" s="147"/>
      <c r="U64" s="217"/>
      <c r="V64" s="147"/>
      <c r="W64" s="147"/>
      <c r="X64" s="154"/>
      <c r="Y64" s="147"/>
      <c r="Z64" s="150"/>
      <c r="AA64" s="151"/>
      <c r="AB64" s="150"/>
      <c r="AC64" s="151"/>
      <c r="AD64" s="152"/>
      <c r="AE64" s="153"/>
      <c r="AF64" s="148"/>
      <c r="AG64" s="147"/>
      <c r="AH64" s="147"/>
    </row>
    <row r="65" spans="4:34" ht="18" hidden="1" customHeight="1">
      <c r="D65" s="13">
        <v>55</v>
      </c>
      <c r="E65" s="13" t="s">
        <v>440</v>
      </c>
      <c r="F65" s="15" t="s">
        <v>156</v>
      </c>
      <c r="G65" s="118" t="s">
        <v>124</v>
      </c>
      <c r="H65" s="126" t="s">
        <v>167</v>
      </c>
      <c r="I65" s="14">
        <v>46167</v>
      </c>
      <c r="J65" s="48">
        <v>0.37847222222222221</v>
      </c>
      <c r="K65" s="118" t="s">
        <v>139</v>
      </c>
      <c r="L65" s="118" t="s">
        <v>140</v>
      </c>
      <c r="M65" s="118" t="s">
        <v>289</v>
      </c>
      <c r="N65" s="127" t="s">
        <v>797</v>
      </c>
      <c r="O65" s="16" t="s">
        <v>798</v>
      </c>
      <c r="P65" s="147"/>
      <c r="Q65" s="147"/>
      <c r="R65" s="147"/>
      <c r="S65" s="147"/>
      <c r="T65" s="147"/>
      <c r="U65" s="217"/>
      <c r="V65" s="147"/>
      <c r="W65" s="147"/>
      <c r="X65" s="154"/>
      <c r="Y65" s="147"/>
      <c r="Z65" s="150"/>
      <c r="AA65" s="151"/>
      <c r="AB65" s="150"/>
      <c r="AC65" s="151"/>
      <c r="AD65" s="152"/>
      <c r="AE65" s="153"/>
      <c r="AF65" s="148"/>
      <c r="AG65" s="147"/>
      <c r="AH65" s="147"/>
    </row>
    <row r="66" spans="4:34" ht="18" hidden="1" customHeight="1">
      <c r="D66" s="15">
        <v>56</v>
      </c>
      <c r="E66" s="13" t="s">
        <v>441</v>
      </c>
      <c r="F66" s="15" t="s">
        <v>153</v>
      </c>
      <c r="G66" s="118" t="s">
        <v>125</v>
      </c>
      <c r="H66" s="126" t="s">
        <v>710</v>
      </c>
      <c r="I66" s="14">
        <v>46167</v>
      </c>
      <c r="J66" s="48">
        <v>0.38958333333333334</v>
      </c>
      <c r="K66" s="118" t="s">
        <v>139</v>
      </c>
      <c r="L66" s="118" t="s">
        <v>140</v>
      </c>
      <c r="M66" s="118"/>
      <c r="N66" s="127" t="s">
        <v>799</v>
      </c>
      <c r="O66" s="16" t="s">
        <v>800</v>
      </c>
      <c r="P66" s="147"/>
      <c r="Q66" s="147"/>
      <c r="R66" s="147"/>
      <c r="S66" s="147"/>
      <c r="T66" s="147"/>
      <c r="U66" s="217"/>
      <c r="V66" s="147"/>
      <c r="W66" s="147"/>
      <c r="X66" s="154"/>
      <c r="Y66" s="147"/>
      <c r="Z66" s="150"/>
      <c r="AA66" s="151"/>
      <c r="AB66" s="150"/>
      <c r="AC66" s="151"/>
      <c r="AD66" s="152"/>
      <c r="AE66" s="153"/>
      <c r="AF66" s="148"/>
      <c r="AG66" s="147"/>
      <c r="AH66" s="147"/>
    </row>
    <row r="67" spans="4:34" ht="18" hidden="1" customHeight="1">
      <c r="D67" s="13">
        <v>57</v>
      </c>
      <c r="E67" s="13" t="s">
        <v>442</v>
      </c>
      <c r="F67" s="15" t="s">
        <v>153</v>
      </c>
      <c r="G67" s="118" t="s">
        <v>125</v>
      </c>
      <c r="H67" s="126" t="s">
        <v>710</v>
      </c>
      <c r="I67" s="14">
        <v>46167</v>
      </c>
      <c r="J67" s="48">
        <v>0.38958333333333334</v>
      </c>
      <c r="K67" s="118" t="s">
        <v>139</v>
      </c>
      <c r="L67" s="118" t="s">
        <v>140</v>
      </c>
      <c r="M67" s="118"/>
      <c r="N67" s="127" t="s">
        <v>801</v>
      </c>
      <c r="O67" s="16" t="s">
        <v>802</v>
      </c>
      <c r="P67" s="147"/>
      <c r="Q67" s="147"/>
      <c r="R67" s="147"/>
      <c r="S67" s="147"/>
      <c r="T67" s="147"/>
      <c r="U67" s="217"/>
      <c r="V67" s="147"/>
      <c r="W67" s="147"/>
      <c r="X67" s="154"/>
      <c r="Y67" s="147"/>
      <c r="Z67" s="150"/>
      <c r="AA67" s="151"/>
      <c r="AB67" s="150"/>
      <c r="AC67" s="151"/>
      <c r="AD67" s="152"/>
      <c r="AE67" s="153"/>
      <c r="AF67" s="148"/>
      <c r="AG67" s="147"/>
      <c r="AH67" s="147"/>
    </row>
    <row r="68" spans="4:34" ht="18" hidden="1" customHeight="1">
      <c r="D68" s="15">
        <v>58</v>
      </c>
      <c r="E68" s="13" t="s">
        <v>443</v>
      </c>
      <c r="F68" s="15" t="s">
        <v>153</v>
      </c>
      <c r="G68" s="118" t="s">
        <v>125</v>
      </c>
      <c r="H68" s="126" t="s">
        <v>710</v>
      </c>
      <c r="I68" s="14">
        <v>46167</v>
      </c>
      <c r="J68" s="48">
        <v>0.44374999999999998</v>
      </c>
      <c r="K68" s="118" t="s">
        <v>139</v>
      </c>
      <c r="L68" s="118" t="s">
        <v>140</v>
      </c>
      <c r="M68" s="118"/>
      <c r="N68" s="127" t="s">
        <v>804</v>
      </c>
      <c r="O68" s="16" t="s">
        <v>803</v>
      </c>
      <c r="P68" s="147"/>
      <c r="Q68" s="147"/>
      <c r="R68" s="147"/>
      <c r="S68" s="147"/>
      <c r="T68" s="147"/>
      <c r="U68" s="217"/>
      <c r="V68" s="147"/>
      <c r="W68" s="147"/>
      <c r="X68" s="154"/>
      <c r="Y68" s="147"/>
      <c r="Z68" s="150"/>
      <c r="AA68" s="151"/>
      <c r="AB68" s="150"/>
      <c r="AC68" s="151"/>
      <c r="AD68" s="152"/>
      <c r="AE68" s="153"/>
      <c r="AF68" s="148"/>
      <c r="AG68" s="147"/>
      <c r="AH68" s="147"/>
    </row>
    <row r="69" spans="4:34" ht="18" hidden="1" customHeight="1">
      <c r="D69" s="13">
        <v>59</v>
      </c>
      <c r="E69" s="13" t="s">
        <v>444</v>
      </c>
      <c r="F69" s="15" t="s">
        <v>153</v>
      </c>
      <c r="G69" s="118" t="s">
        <v>125</v>
      </c>
      <c r="H69" s="126" t="s">
        <v>710</v>
      </c>
      <c r="I69" s="14">
        <v>46167</v>
      </c>
      <c r="J69" s="48">
        <v>0.4861111111111111</v>
      </c>
      <c r="K69" s="118" t="s">
        <v>139</v>
      </c>
      <c r="L69" s="118" t="s">
        <v>140</v>
      </c>
      <c r="M69" s="118"/>
      <c r="N69" s="127" t="s">
        <v>805</v>
      </c>
      <c r="O69" s="16" t="s">
        <v>806</v>
      </c>
      <c r="P69" s="147"/>
      <c r="Q69" s="147"/>
      <c r="R69" s="147"/>
      <c r="S69" s="147"/>
      <c r="T69" s="147"/>
      <c r="U69" s="217"/>
      <c r="V69" s="147"/>
      <c r="W69" s="147"/>
      <c r="X69" s="154"/>
      <c r="Y69" s="147"/>
      <c r="Z69" s="150"/>
      <c r="AA69" s="151"/>
      <c r="AB69" s="150"/>
      <c r="AC69" s="151"/>
      <c r="AD69" s="152"/>
      <c r="AE69" s="153"/>
      <c r="AF69" s="148"/>
      <c r="AG69" s="147"/>
      <c r="AH69" s="147"/>
    </row>
    <row r="70" spans="4:34" ht="18" hidden="1" customHeight="1">
      <c r="D70" s="15">
        <v>60</v>
      </c>
      <c r="E70" s="13" t="s">
        <v>445</v>
      </c>
      <c r="F70" s="15" t="s">
        <v>156</v>
      </c>
      <c r="G70" s="118" t="s">
        <v>123</v>
      </c>
      <c r="H70" s="126" t="s">
        <v>168</v>
      </c>
      <c r="I70" s="14">
        <v>46167</v>
      </c>
      <c r="J70" s="48">
        <v>46167.569444444445</v>
      </c>
      <c r="K70" s="118" t="s">
        <v>104</v>
      </c>
      <c r="L70" s="118" t="s">
        <v>140</v>
      </c>
      <c r="M70" s="118" t="s">
        <v>143</v>
      </c>
      <c r="N70" s="127" t="s">
        <v>370</v>
      </c>
      <c r="O70" s="16" t="s">
        <v>807</v>
      </c>
      <c r="P70" s="147"/>
      <c r="Q70" s="147"/>
      <c r="R70" s="147"/>
      <c r="S70" s="147"/>
      <c r="T70" s="147"/>
      <c r="U70" s="217"/>
      <c r="V70" s="147"/>
      <c r="W70" s="147"/>
      <c r="X70" s="154"/>
      <c r="Y70" s="147"/>
      <c r="Z70" s="150"/>
      <c r="AA70" s="151"/>
      <c r="AB70" s="150"/>
      <c r="AC70" s="151"/>
      <c r="AD70" s="152"/>
      <c r="AE70" s="153"/>
      <c r="AF70" s="148"/>
      <c r="AG70" s="147"/>
      <c r="AH70" s="147"/>
    </row>
    <row r="71" spans="4:34" ht="18" customHeight="1">
      <c r="D71" s="13">
        <v>61</v>
      </c>
      <c r="E71" s="13" t="s">
        <v>446</v>
      </c>
      <c r="F71" s="15" t="s">
        <v>155</v>
      </c>
      <c r="G71" s="118" t="s">
        <v>809</v>
      </c>
      <c r="H71" s="126" t="s">
        <v>810</v>
      </c>
      <c r="I71" s="14">
        <v>46171</v>
      </c>
      <c r="J71" s="48">
        <v>15.5</v>
      </c>
      <c r="K71" s="118" t="s">
        <v>138</v>
      </c>
      <c r="L71" s="118" t="s">
        <v>140</v>
      </c>
      <c r="M71" s="118"/>
      <c r="N71" s="127" t="s">
        <v>811</v>
      </c>
      <c r="O71" s="16" t="s">
        <v>812</v>
      </c>
      <c r="P71" s="147" t="s">
        <v>178</v>
      </c>
      <c r="Q71" s="147" t="s">
        <v>813</v>
      </c>
      <c r="R71" s="147"/>
      <c r="S71" s="147"/>
      <c r="T71" s="147"/>
      <c r="U71" s="217"/>
      <c r="V71" s="147" t="s">
        <v>203</v>
      </c>
      <c r="W71" s="147"/>
      <c r="X71" s="154" t="s">
        <v>208</v>
      </c>
      <c r="Y71" s="147"/>
      <c r="Z71" s="150">
        <v>46212</v>
      </c>
      <c r="AA71" s="151">
        <v>0.83333333333333337</v>
      </c>
      <c r="AB71" s="150">
        <v>46212</v>
      </c>
      <c r="AC71" s="151">
        <v>0.875</v>
      </c>
      <c r="AD71" s="152" t="s">
        <v>814</v>
      </c>
      <c r="AE71" s="153"/>
      <c r="AF71" s="148" t="s">
        <v>810</v>
      </c>
      <c r="AG71" s="147" t="s">
        <v>164</v>
      </c>
      <c r="AH71" s="147"/>
    </row>
    <row r="72" spans="4:34" ht="18" hidden="1" customHeight="1">
      <c r="D72" s="15">
        <v>62</v>
      </c>
      <c r="E72" s="13" t="s">
        <v>447</v>
      </c>
      <c r="F72" s="15"/>
      <c r="G72" s="118"/>
      <c r="H72" s="126"/>
      <c r="I72" s="14"/>
      <c r="J72" s="48"/>
      <c r="K72" s="118"/>
      <c r="L72" s="118"/>
      <c r="M72" s="118"/>
      <c r="N72" s="127"/>
      <c r="O72" s="16"/>
      <c r="P72" s="147"/>
      <c r="Q72" s="147"/>
      <c r="R72" s="147"/>
      <c r="S72" s="147"/>
      <c r="T72" s="147"/>
      <c r="U72" s="217"/>
      <c r="V72" s="147"/>
      <c r="W72" s="147"/>
      <c r="X72" s="154"/>
      <c r="Y72" s="147"/>
      <c r="Z72" s="150"/>
      <c r="AA72" s="151"/>
      <c r="AB72" s="150"/>
      <c r="AC72" s="151"/>
      <c r="AD72" s="152"/>
      <c r="AE72" s="153"/>
      <c r="AF72" s="148"/>
      <c r="AG72" s="147"/>
      <c r="AH72" s="147"/>
    </row>
    <row r="73" spans="4:34" ht="18" hidden="1" customHeight="1">
      <c r="D73" s="13">
        <v>63</v>
      </c>
      <c r="E73" s="13" t="s">
        <v>448</v>
      </c>
      <c r="F73" s="15"/>
      <c r="G73" s="118"/>
      <c r="H73" s="126"/>
      <c r="I73" s="14"/>
      <c r="J73" s="48"/>
      <c r="K73" s="118"/>
      <c r="L73" s="118"/>
      <c r="M73" s="118"/>
      <c r="N73" s="127"/>
      <c r="O73" s="16"/>
      <c r="P73" s="147"/>
      <c r="Q73" s="147"/>
      <c r="R73" s="147"/>
      <c r="S73" s="147"/>
      <c r="T73" s="147"/>
      <c r="U73" s="217"/>
      <c r="V73" s="147"/>
      <c r="W73" s="147"/>
      <c r="X73" s="154"/>
      <c r="Y73" s="147"/>
      <c r="Z73" s="150"/>
      <c r="AA73" s="151"/>
      <c r="AB73" s="150"/>
      <c r="AC73" s="151"/>
      <c r="AD73" s="152"/>
      <c r="AE73" s="153"/>
      <c r="AF73" s="148"/>
      <c r="AG73" s="147"/>
      <c r="AH73" s="147"/>
    </row>
    <row r="74" spans="4:34" ht="18" hidden="1" customHeight="1">
      <c r="D74" s="15">
        <v>64</v>
      </c>
      <c r="E74" s="13" t="s">
        <v>449</v>
      </c>
      <c r="F74" s="15"/>
      <c r="G74" s="118"/>
      <c r="H74" s="126"/>
      <c r="I74" s="14"/>
      <c r="J74" s="48"/>
      <c r="K74" s="118"/>
      <c r="L74" s="118"/>
      <c r="M74" s="118"/>
      <c r="N74" s="127"/>
      <c r="O74" s="16"/>
      <c r="P74" s="147"/>
      <c r="Q74" s="147"/>
      <c r="R74" s="147"/>
      <c r="S74" s="147"/>
      <c r="T74" s="147"/>
      <c r="U74" s="217"/>
      <c r="V74" s="147"/>
      <c r="W74" s="147"/>
      <c r="X74" s="154"/>
      <c r="Y74" s="147"/>
      <c r="Z74" s="150"/>
      <c r="AA74" s="151"/>
      <c r="AB74" s="150"/>
      <c r="AC74" s="151"/>
      <c r="AD74" s="152"/>
      <c r="AE74" s="153"/>
      <c r="AF74" s="148"/>
      <c r="AG74" s="147"/>
      <c r="AH74" s="147"/>
    </row>
    <row r="75" spans="4:34" ht="18" hidden="1" customHeight="1">
      <c r="D75" s="13">
        <v>65</v>
      </c>
      <c r="E75" s="13" t="s">
        <v>450</v>
      </c>
      <c r="F75" s="15"/>
      <c r="G75" s="118"/>
      <c r="H75" s="126"/>
      <c r="I75" s="14"/>
      <c r="J75" s="48"/>
      <c r="K75" s="118"/>
      <c r="L75" s="118"/>
      <c r="M75" s="118"/>
      <c r="N75" s="127"/>
      <c r="O75" s="16"/>
      <c r="P75" s="147"/>
      <c r="Q75" s="147"/>
      <c r="R75" s="147"/>
      <c r="S75" s="147"/>
      <c r="T75" s="147"/>
      <c r="U75" s="217"/>
      <c r="V75" s="147"/>
      <c r="W75" s="147"/>
      <c r="X75" s="154"/>
      <c r="Y75" s="147"/>
      <c r="Z75" s="150"/>
      <c r="AA75" s="151"/>
      <c r="AB75" s="150"/>
      <c r="AC75" s="151"/>
      <c r="AD75" s="152"/>
      <c r="AE75" s="153"/>
      <c r="AF75" s="148"/>
      <c r="AG75" s="147"/>
      <c r="AH75" s="147"/>
    </row>
    <row r="76" spans="4:34" ht="18" hidden="1" customHeight="1">
      <c r="D76" s="15">
        <v>66</v>
      </c>
      <c r="E76" s="13" t="s">
        <v>451</v>
      </c>
      <c r="F76" s="15"/>
      <c r="G76" s="118"/>
      <c r="H76" s="126"/>
      <c r="I76" s="14"/>
      <c r="J76" s="48"/>
      <c r="K76" s="118"/>
      <c r="L76" s="118"/>
      <c r="M76" s="118"/>
      <c r="N76" s="127"/>
      <c r="O76" s="16"/>
      <c r="P76" s="147"/>
      <c r="Q76" s="147"/>
      <c r="R76" s="147"/>
      <c r="S76" s="147"/>
      <c r="T76" s="147"/>
      <c r="U76" s="217"/>
      <c r="V76" s="147"/>
      <c r="W76" s="147"/>
      <c r="X76" s="154"/>
      <c r="Y76" s="147"/>
      <c r="Z76" s="150"/>
      <c r="AA76" s="151"/>
      <c r="AB76" s="150"/>
      <c r="AC76" s="151"/>
      <c r="AD76" s="152"/>
      <c r="AE76" s="153"/>
      <c r="AF76" s="148"/>
      <c r="AG76" s="147"/>
      <c r="AH76" s="147"/>
    </row>
    <row r="77" spans="4:34" ht="18" hidden="1" customHeight="1">
      <c r="D77" s="13">
        <v>67</v>
      </c>
      <c r="E77" s="13" t="s">
        <v>452</v>
      </c>
      <c r="F77" s="15"/>
      <c r="G77" s="118"/>
      <c r="H77" s="126"/>
      <c r="I77" s="14"/>
      <c r="J77" s="48"/>
      <c r="K77" s="118"/>
      <c r="L77" s="118"/>
      <c r="M77" s="118"/>
      <c r="N77" s="127"/>
      <c r="O77" s="16"/>
      <c r="P77" s="147"/>
      <c r="Q77" s="147"/>
      <c r="R77" s="147"/>
      <c r="S77" s="147"/>
      <c r="T77" s="147"/>
      <c r="U77" s="217"/>
      <c r="V77" s="147"/>
      <c r="W77" s="147"/>
      <c r="X77" s="154"/>
      <c r="Y77" s="147"/>
      <c r="Z77" s="150"/>
      <c r="AA77" s="151"/>
      <c r="AB77" s="150"/>
      <c r="AC77" s="151"/>
      <c r="AD77" s="152"/>
      <c r="AE77" s="153"/>
      <c r="AF77" s="148"/>
      <c r="AG77" s="147"/>
      <c r="AH77" s="147"/>
    </row>
    <row r="78" spans="4:34" ht="18" hidden="1" customHeight="1">
      <c r="D78" s="15">
        <v>68</v>
      </c>
      <c r="E78" s="13" t="s">
        <v>453</v>
      </c>
      <c r="F78" s="15"/>
      <c r="G78" s="118"/>
      <c r="H78" s="126"/>
      <c r="I78" s="14"/>
      <c r="J78" s="48"/>
      <c r="K78" s="118"/>
      <c r="L78" s="118"/>
      <c r="M78" s="118"/>
      <c r="N78" s="127"/>
      <c r="O78" s="16"/>
      <c r="P78" s="147"/>
      <c r="Q78" s="147"/>
      <c r="R78" s="147"/>
      <c r="S78" s="147"/>
      <c r="T78" s="147"/>
      <c r="U78" s="217"/>
      <c r="V78" s="147"/>
      <c r="W78" s="147"/>
      <c r="X78" s="154"/>
      <c r="Y78" s="147"/>
      <c r="Z78" s="150"/>
      <c r="AA78" s="151"/>
      <c r="AB78" s="150"/>
      <c r="AC78" s="151"/>
      <c r="AD78" s="152"/>
      <c r="AE78" s="153"/>
      <c r="AF78" s="148"/>
      <c r="AG78" s="147"/>
      <c r="AH78" s="147"/>
    </row>
    <row r="79" spans="4:34" ht="18" hidden="1" customHeight="1">
      <c r="D79" s="13">
        <v>69</v>
      </c>
      <c r="E79" s="13" t="s">
        <v>454</v>
      </c>
      <c r="F79" s="15"/>
      <c r="G79" s="118"/>
      <c r="H79" s="126"/>
      <c r="I79" s="14"/>
      <c r="J79" s="48"/>
      <c r="K79" s="118"/>
      <c r="L79" s="118"/>
      <c r="M79" s="118"/>
      <c r="N79" s="127"/>
      <c r="O79" s="16"/>
      <c r="P79" s="147"/>
      <c r="Q79" s="147"/>
      <c r="R79" s="147"/>
      <c r="S79" s="147"/>
      <c r="T79" s="147"/>
      <c r="U79" s="217"/>
      <c r="V79" s="147"/>
      <c r="W79" s="147"/>
      <c r="X79" s="154"/>
      <c r="Y79" s="147"/>
      <c r="Z79" s="150"/>
      <c r="AA79" s="151"/>
      <c r="AB79" s="150"/>
      <c r="AC79" s="151"/>
      <c r="AD79" s="152"/>
      <c r="AE79" s="153"/>
      <c r="AF79" s="148"/>
      <c r="AG79" s="147"/>
      <c r="AH79" s="147"/>
    </row>
    <row r="80" spans="4:34" ht="18" hidden="1" customHeight="1">
      <c r="D80" s="15">
        <v>70</v>
      </c>
      <c r="E80" s="13" t="s">
        <v>455</v>
      </c>
      <c r="F80" s="15"/>
      <c r="G80" s="118"/>
      <c r="H80" s="126"/>
      <c r="I80" s="14"/>
      <c r="J80" s="48"/>
      <c r="K80" s="118"/>
      <c r="L80" s="118"/>
      <c r="M80" s="118"/>
      <c r="N80" s="127"/>
      <c r="O80" s="16"/>
      <c r="P80" s="147"/>
      <c r="Q80" s="147"/>
      <c r="R80" s="147"/>
      <c r="S80" s="147"/>
      <c r="T80" s="147"/>
      <c r="U80" s="217"/>
      <c r="V80" s="147"/>
      <c r="W80" s="147"/>
      <c r="X80" s="154"/>
      <c r="Y80" s="147"/>
      <c r="Z80" s="150"/>
      <c r="AA80" s="151"/>
      <c r="AB80" s="150"/>
      <c r="AC80" s="151"/>
      <c r="AD80" s="152"/>
      <c r="AE80" s="153"/>
      <c r="AF80" s="148"/>
      <c r="AG80" s="147"/>
      <c r="AH80" s="147"/>
    </row>
    <row r="81" spans="4:34" ht="18" hidden="1" customHeight="1">
      <c r="D81" s="13">
        <v>71</v>
      </c>
      <c r="E81" s="13" t="s">
        <v>456</v>
      </c>
      <c r="F81" s="15"/>
      <c r="G81" s="118"/>
      <c r="H81" s="126"/>
      <c r="I81" s="14"/>
      <c r="J81" s="48"/>
      <c r="K81" s="118"/>
      <c r="L81" s="118"/>
      <c r="M81" s="118"/>
      <c r="N81" s="127"/>
      <c r="O81" s="16"/>
      <c r="P81" s="147"/>
      <c r="Q81" s="147"/>
      <c r="R81" s="147"/>
      <c r="S81" s="147"/>
      <c r="T81" s="147"/>
      <c r="U81" s="217"/>
      <c r="V81" s="147"/>
      <c r="W81" s="147"/>
      <c r="X81" s="154"/>
      <c r="Y81" s="147"/>
      <c r="Z81" s="150"/>
      <c r="AA81" s="151"/>
      <c r="AB81" s="150"/>
      <c r="AC81" s="151"/>
      <c r="AD81" s="152"/>
      <c r="AE81" s="153"/>
      <c r="AF81" s="148"/>
      <c r="AG81" s="147"/>
      <c r="AH81" s="147"/>
    </row>
    <row r="82" spans="4:34" ht="18" hidden="1" customHeight="1">
      <c r="D82" s="15">
        <v>72</v>
      </c>
      <c r="E82" s="13" t="s">
        <v>457</v>
      </c>
      <c r="F82" s="15"/>
      <c r="G82" s="118"/>
      <c r="H82" s="126"/>
      <c r="I82" s="14"/>
      <c r="J82" s="48"/>
      <c r="K82" s="118"/>
      <c r="L82" s="118"/>
      <c r="M82" s="118"/>
      <c r="N82" s="127"/>
      <c r="O82" s="16"/>
      <c r="P82" s="147"/>
      <c r="Q82" s="147"/>
      <c r="R82" s="147"/>
      <c r="S82" s="147"/>
      <c r="T82" s="147"/>
      <c r="U82" s="217"/>
      <c r="V82" s="147"/>
      <c r="W82" s="147"/>
      <c r="X82" s="154"/>
      <c r="Y82" s="147"/>
      <c r="Z82" s="150"/>
      <c r="AA82" s="151"/>
      <c r="AB82" s="150"/>
      <c r="AC82" s="151"/>
      <c r="AD82" s="152"/>
      <c r="AE82" s="153"/>
      <c r="AF82" s="148"/>
      <c r="AG82" s="147"/>
      <c r="AH82" s="147"/>
    </row>
    <row r="83" spans="4:34" ht="18" hidden="1" customHeight="1">
      <c r="D83" s="13">
        <v>73</v>
      </c>
      <c r="E83" s="13" t="s">
        <v>458</v>
      </c>
      <c r="F83" s="15"/>
      <c r="G83" s="118"/>
      <c r="H83" s="126"/>
      <c r="I83" s="14"/>
      <c r="J83" s="48"/>
      <c r="K83" s="118"/>
      <c r="L83" s="118"/>
      <c r="M83" s="118"/>
      <c r="N83" s="127"/>
      <c r="O83" s="16"/>
      <c r="P83" s="147"/>
      <c r="Q83" s="147"/>
      <c r="R83" s="147"/>
      <c r="S83" s="147"/>
      <c r="T83" s="147"/>
      <c r="U83" s="217"/>
      <c r="V83" s="147"/>
      <c r="W83" s="147"/>
      <c r="X83" s="154"/>
      <c r="Y83" s="147"/>
      <c r="Z83" s="150"/>
      <c r="AA83" s="151"/>
      <c r="AB83" s="150"/>
      <c r="AC83" s="151"/>
      <c r="AD83" s="152"/>
      <c r="AE83" s="153"/>
      <c r="AF83" s="148"/>
      <c r="AG83" s="147"/>
      <c r="AH83" s="147"/>
    </row>
    <row r="84" spans="4:34" ht="18" hidden="1" customHeight="1">
      <c r="D84" s="15">
        <v>74</v>
      </c>
      <c r="E84" s="13" t="s">
        <v>459</v>
      </c>
      <c r="F84" s="15"/>
      <c r="G84" s="118"/>
      <c r="H84" s="126"/>
      <c r="I84" s="14"/>
      <c r="J84" s="48"/>
      <c r="K84" s="118"/>
      <c r="L84" s="118"/>
      <c r="M84" s="118"/>
      <c r="N84" s="127"/>
      <c r="O84" s="16"/>
      <c r="P84" s="147"/>
      <c r="Q84" s="147"/>
      <c r="R84" s="147"/>
      <c r="S84" s="147"/>
      <c r="T84" s="147"/>
      <c r="U84" s="219"/>
      <c r="V84" s="147"/>
      <c r="W84" s="147"/>
      <c r="X84" s="154"/>
      <c r="Y84" s="147"/>
      <c r="Z84" s="150"/>
      <c r="AA84" s="151"/>
      <c r="AB84" s="150"/>
      <c r="AC84" s="151"/>
      <c r="AD84" s="152"/>
      <c r="AE84" s="153"/>
      <c r="AF84" s="148"/>
      <c r="AG84" s="147"/>
      <c r="AH84" s="147"/>
    </row>
    <row r="85" spans="4:34" ht="18" hidden="1" customHeight="1">
      <c r="D85" s="13">
        <v>75</v>
      </c>
      <c r="E85" s="13" t="s">
        <v>460</v>
      </c>
      <c r="F85" s="15"/>
      <c r="G85" s="118"/>
      <c r="H85" s="126"/>
      <c r="I85" s="14"/>
      <c r="J85" s="48"/>
      <c r="K85" s="118"/>
      <c r="L85" s="118"/>
      <c r="M85" s="118"/>
      <c r="N85" s="127"/>
      <c r="O85" s="16"/>
      <c r="P85" s="147"/>
      <c r="Q85" s="147"/>
      <c r="R85" s="147"/>
      <c r="S85" s="147"/>
      <c r="T85" s="147"/>
      <c r="U85" s="217"/>
      <c r="V85" s="147"/>
      <c r="W85" s="147"/>
      <c r="X85" s="154"/>
      <c r="Y85" s="147"/>
      <c r="Z85" s="150"/>
      <c r="AA85" s="151"/>
      <c r="AB85" s="150"/>
      <c r="AC85" s="151"/>
      <c r="AD85" s="152"/>
      <c r="AE85" s="153"/>
      <c r="AF85" s="148"/>
      <c r="AG85" s="147"/>
      <c r="AH85" s="147"/>
    </row>
    <row r="86" spans="4:34" ht="18" hidden="1" customHeight="1">
      <c r="D86" s="15">
        <v>76</v>
      </c>
      <c r="E86" s="13" t="s">
        <v>461</v>
      </c>
      <c r="F86" s="15"/>
      <c r="G86" s="118"/>
      <c r="H86" s="126"/>
      <c r="I86" s="14"/>
      <c r="J86" s="48"/>
      <c r="K86" s="118"/>
      <c r="L86" s="118"/>
      <c r="M86" s="118"/>
      <c r="N86" s="127"/>
      <c r="O86" s="16"/>
      <c r="P86" s="147"/>
      <c r="Q86" s="147"/>
      <c r="R86" s="147"/>
      <c r="S86" s="147"/>
      <c r="T86" s="147"/>
      <c r="U86" s="217"/>
      <c r="V86" s="147"/>
      <c r="W86" s="147"/>
      <c r="X86" s="154"/>
      <c r="Y86" s="147"/>
      <c r="Z86" s="150"/>
      <c r="AA86" s="151"/>
      <c r="AB86" s="150"/>
      <c r="AC86" s="151"/>
      <c r="AD86" s="152"/>
      <c r="AE86" s="153"/>
      <c r="AF86" s="148"/>
      <c r="AG86" s="147"/>
      <c r="AH86" s="147"/>
    </row>
    <row r="87" spans="4:34" ht="18" hidden="1" customHeight="1">
      <c r="D87" s="13">
        <v>77</v>
      </c>
      <c r="E87" s="13" t="s">
        <v>462</v>
      </c>
      <c r="F87" s="15"/>
      <c r="G87" s="118"/>
      <c r="H87" s="126"/>
      <c r="I87" s="14"/>
      <c r="J87" s="48"/>
      <c r="K87" s="118"/>
      <c r="L87" s="118"/>
      <c r="M87" s="118"/>
      <c r="N87" s="127"/>
      <c r="O87" s="16"/>
      <c r="P87" s="147"/>
      <c r="Q87" s="147"/>
      <c r="R87" s="147"/>
      <c r="S87" s="147"/>
      <c r="T87" s="147"/>
      <c r="U87" s="220"/>
      <c r="V87" s="147"/>
      <c r="W87" s="147"/>
      <c r="X87" s="154"/>
      <c r="Y87" s="147"/>
      <c r="Z87" s="150"/>
      <c r="AA87" s="151"/>
      <c r="AB87" s="150"/>
      <c r="AC87" s="151"/>
      <c r="AD87" s="152"/>
      <c r="AE87" s="153"/>
      <c r="AF87" s="148"/>
      <c r="AG87" s="147"/>
      <c r="AH87" s="147"/>
    </row>
    <row r="88" spans="4:34" ht="18" hidden="1" customHeight="1">
      <c r="D88" s="15">
        <v>78</v>
      </c>
      <c r="E88" s="13" t="s">
        <v>463</v>
      </c>
      <c r="F88" s="15"/>
      <c r="G88" s="118"/>
      <c r="H88" s="126"/>
      <c r="I88" s="14"/>
      <c r="J88" s="48"/>
      <c r="K88" s="118"/>
      <c r="L88" s="118"/>
      <c r="M88" s="118"/>
      <c r="N88" s="127"/>
      <c r="O88" s="16"/>
      <c r="P88" s="147"/>
      <c r="Q88" s="147"/>
      <c r="R88" s="147"/>
      <c r="S88" s="147"/>
      <c r="T88" s="147"/>
      <c r="U88" s="217"/>
      <c r="V88" s="147"/>
      <c r="W88" s="147"/>
      <c r="X88" s="154"/>
      <c r="Y88" s="147"/>
      <c r="Z88" s="150"/>
      <c r="AA88" s="151"/>
      <c r="AB88" s="150"/>
      <c r="AC88" s="151"/>
      <c r="AD88" s="152"/>
      <c r="AE88" s="153"/>
      <c r="AF88" s="148"/>
      <c r="AG88" s="147"/>
      <c r="AH88" s="147"/>
    </row>
    <row r="89" spans="4:34" ht="18" hidden="1" customHeight="1">
      <c r="D89" s="13">
        <v>79</v>
      </c>
      <c r="E89" s="13" t="s">
        <v>464</v>
      </c>
      <c r="F89" s="15"/>
      <c r="G89" s="118"/>
      <c r="H89" s="126"/>
      <c r="I89" s="14"/>
      <c r="J89" s="48"/>
      <c r="K89" s="118"/>
      <c r="L89" s="118"/>
      <c r="M89" s="118"/>
      <c r="N89" s="127"/>
      <c r="O89" s="16"/>
      <c r="P89" s="147"/>
      <c r="Q89" s="147"/>
      <c r="R89" s="147"/>
      <c r="S89" s="147"/>
      <c r="T89" s="147"/>
      <c r="U89" s="217"/>
      <c r="V89" s="147"/>
      <c r="W89" s="147"/>
      <c r="X89" s="154"/>
      <c r="Y89" s="147"/>
      <c r="Z89" s="150"/>
      <c r="AA89" s="151"/>
      <c r="AB89" s="150"/>
      <c r="AC89" s="151"/>
      <c r="AD89" s="152"/>
      <c r="AE89" s="153"/>
      <c r="AF89" s="148"/>
      <c r="AG89" s="147"/>
      <c r="AH89" s="147"/>
    </row>
    <row r="90" spans="4:34" ht="18" hidden="1" customHeight="1">
      <c r="D90" s="15">
        <v>80</v>
      </c>
      <c r="E90" s="13" t="s">
        <v>465</v>
      </c>
      <c r="F90" s="15"/>
      <c r="G90" s="118"/>
      <c r="H90" s="126"/>
      <c r="I90" s="14"/>
      <c r="J90" s="48"/>
      <c r="K90" s="118"/>
      <c r="L90" s="118"/>
      <c r="M90" s="118"/>
      <c r="N90" s="127"/>
      <c r="O90" s="16"/>
      <c r="P90" s="147"/>
      <c r="Q90" s="147"/>
      <c r="R90" s="147"/>
      <c r="S90" s="147"/>
      <c r="T90" s="147"/>
      <c r="U90" s="217"/>
      <c r="V90" s="147"/>
      <c r="W90" s="147"/>
      <c r="X90" s="154"/>
      <c r="Y90" s="147"/>
      <c r="Z90" s="150"/>
      <c r="AA90" s="151"/>
      <c r="AB90" s="150"/>
      <c r="AC90" s="151"/>
      <c r="AD90" s="152"/>
      <c r="AE90" s="153"/>
      <c r="AF90" s="148"/>
      <c r="AG90" s="147"/>
      <c r="AH90" s="147"/>
    </row>
    <row r="91" spans="4:34" ht="18" hidden="1" customHeight="1">
      <c r="D91" s="13">
        <v>81</v>
      </c>
      <c r="E91" s="13" t="s">
        <v>466</v>
      </c>
      <c r="F91" s="15"/>
      <c r="G91" s="118"/>
      <c r="H91" s="126"/>
      <c r="I91" s="14"/>
      <c r="J91" s="48"/>
      <c r="K91" s="118"/>
      <c r="L91" s="118"/>
      <c r="M91" s="118"/>
      <c r="N91" s="127"/>
      <c r="O91" s="16"/>
      <c r="P91" s="147"/>
      <c r="Q91" s="147"/>
      <c r="R91" s="147"/>
      <c r="S91" s="147"/>
      <c r="T91" s="147"/>
      <c r="U91" s="217"/>
      <c r="V91" s="147"/>
      <c r="W91" s="147"/>
      <c r="X91" s="154"/>
      <c r="Y91" s="147"/>
      <c r="Z91" s="150"/>
      <c r="AA91" s="151"/>
      <c r="AB91" s="150"/>
      <c r="AC91" s="151"/>
      <c r="AD91" s="152"/>
      <c r="AE91" s="153"/>
      <c r="AF91" s="148"/>
      <c r="AG91" s="147"/>
      <c r="AH91" s="147"/>
    </row>
    <row r="92" spans="4:34" ht="18" hidden="1" customHeight="1">
      <c r="D92" s="15">
        <v>82</v>
      </c>
      <c r="E92" s="13" t="s">
        <v>467</v>
      </c>
      <c r="F92" s="15"/>
      <c r="G92" s="118"/>
      <c r="H92" s="126"/>
      <c r="I92" s="14"/>
      <c r="J92" s="48"/>
      <c r="K92" s="118"/>
      <c r="L92" s="118"/>
      <c r="M92" s="118"/>
      <c r="N92" s="127"/>
      <c r="O92" s="16"/>
      <c r="P92" s="147"/>
      <c r="Q92" s="147"/>
      <c r="R92" s="147"/>
      <c r="S92" s="147"/>
      <c r="T92" s="147"/>
      <c r="U92" s="217"/>
      <c r="V92" s="147"/>
      <c r="W92" s="147"/>
      <c r="X92" s="154"/>
      <c r="Y92" s="147"/>
      <c r="Z92" s="150"/>
      <c r="AA92" s="151"/>
      <c r="AB92" s="150"/>
      <c r="AC92" s="151"/>
      <c r="AD92" s="152"/>
      <c r="AE92" s="153"/>
      <c r="AF92" s="148"/>
      <c r="AG92" s="147"/>
      <c r="AH92" s="147"/>
    </row>
    <row r="93" spans="4:34" ht="18" hidden="1" customHeight="1">
      <c r="D93" s="13">
        <v>83</v>
      </c>
      <c r="E93" s="13" t="s">
        <v>468</v>
      </c>
      <c r="F93" s="15"/>
      <c r="G93" s="118"/>
      <c r="H93" s="126"/>
      <c r="I93" s="14"/>
      <c r="J93" s="48"/>
      <c r="K93" s="118"/>
      <c r="L93" s="118"/>
      <c r="M93" s="118"/>
      <c r="N93" s="127"/>
      <c r="O93" s="16"/>
      <c r="P93" s="147"/>
      <c r="Q93" s="147"/>
      <c r="R93" s="147"/>
      <c r="S93" s="147"/>
      <c r="T93" s="147"/>
      <c r="U93" s="217"/>
      <c r="V93" s="147"/>
      <c r="W93" s="147"/>
      <c r="X93" s="154"/>
      <c r="Y93" s="147"/>
      <c r="Z93" s="214"/>
      <c r="AA93" s="151"/>
      <c r="AB93" s="214"/>
      <c r="AC93" s="151"/>
      <c r="AD93" s="152"/>
      <c r="AE93" s="153"/>
      <c r="AF93" s="148"/>
      <c r="AG93" s="147"/>
      <c r="AH93" s="147"/>
    </row>
    <row r="94" spans="4:34" ht="18" hidden="1" customHeight="1">
      <c r="D94" s="15">
        <v>84</v>
      </c>
      <c r="E94" s="13" t="s">
        <v>469</v>
      </c>
      <c r="F94" s="15"/>
      <c r="G94" s="118"/>
      <c r="H94" s="126"/>
      <c r="I94" s="14"/>
      <c r="J94" s="48"/>
      <c r="K94" s="118"/>
      <c r="L94" s="118"/>
      <c r="M94" s="118"/>
      <c r="N94" s="127"/>
      <c r="O94" s="16"/>
      <c r="P94" s="147"/>
      <c r="Q94" s="147"/>
      <c r="R94" s="147"/>
      <c r="S94" s="147"/>
      <c r="T94" s="147"/>
      <c r="U94" s="217"/>
      <c r="V94" s="147"/>
      <c r="W94" s="147"/>
      <c r="X94" s="154"/>
      <c r="Y94" s="147"/>
      <c r="Z94" s="150"/>
      <c r="AA94" s="151"/>
      <c r="AB94" s="150"/>
      <c r="AC94" s="151"/>
      <c r="AD94" s="152"/>
      <c r="AE94" s="153"/>
      <c r="AF94" s="148"/>
      <c r="AG94" s="147"/>
      <c r="AH94" s="147"/>
    </row>
    <row r="95" spans="4:34" ht="18" hidden="1" customHeight="1">
      <c r="D95" s="13">
        <v>85</v>
      </c>
      <c r="E95" s="13" t="s">
        <v>470</v>
      </c>
      <c r="F95" s="15"/>
      <c r="G95" s="118"/>
      <c r="H95" s="126"/>
      <c r="I95" s="14"/>
      <c r="J95" s="48"/>
      <c r="K95" s="118"/>
      <c r="L95" s="118"/>
      <c r="M95" s="118"/>
      <c r="N95" s="127"/>
      <c r="O95" s="16"/>
      <c r="P95" s="147"/>
      <c r="Q95" s="147"/>
      <c r="R95" s="147"/>
      <c r="S95" s="147"/>
      <c r="T95" s="147"/>
      <c r="U95" s="217"/>
      <c r="V95" s="147"/>
      <c r="W95" s="147"/>
      <c r="X95" s="154"/>
      <c r="Y95" s="147"/>
      <c r="Z95" s="150"/>
      <c r="AA95" s="151"/>
      <c r="AB95" s="150"/>
      <c r="AC95" s="151"/>
      <c r="AD95" s="152"/>
      <c r="AE95" s="153"/>
      <c r="AF95" s="148"/>
      <c r="AG95" s="147"/>
      <c r="AH95" s="147"/>
    </row>
    <row r="96" spans="4:34" ht="18" hidden="1" customHeight="1">
      <c r="D96" s="15">
        <v>86</v>
      </c>
      <c r="E96" s="13" t="s">
        <v>471</v>
      </c>
      <c r="F96" s="15"/>
      <c r="G96" s="118"/>
      <c r="H96" s="126"/>
      <c r="I96" s="14"/>
      <c r="J96" s="48"/>
      <c r="K96" s="118"/>
      <c r="L96" s="118"/>
      <c r="M96" s="118"/>
      <c r="N96" s="127"/>
      <c r="O96" s="16"/>
      <c r="P96" s="147"/>
      <c r="Q96" s="147"/>
      <c r="R96" s="147"/>
      <c r="S96" s="147"/>
      <c r="T96" s="147"/>
      <c r="U96" s="217"/>
      <c r="V96" s="147"/>
      <c r="W96" s="147"/>
      <c r="X96" s="154"/>
      <c r="Y96" s="147"/>
      <c r="Z96" s="150"/>
      <c r="AA96" s="151"/>
      <c r="AB96" s="150"/>
      <c r="AC96" s="151"/>
      <c r="AD96" s="152"/>
      <c r="AE96" s="153"/>
      <c r="AF96" s="148"/>
      <c r="AG96" s="147"/>
      <c r="AH96" s="147"/>
    </row>
    <row r="97" spans="4:34" ht="18" hidden="1" customHeight="1">
      <c r="D97" s="13">
        <v>87</v>
      </c>
      <c r="E97" s="13" t="s">
        <v>472</v>
      </c>
      <c r="F97" s="15"/>
      <c r="G97" s="118"/>
      <c r="H97" s="126"/>
      <c r="I97" s="14"/>
      <c r="J97" s="48"/>
      <c r="K97" s="118"/>
      <c r="L97" s="118"/>
      <c r="M97" s="118"/>
      <c r="N97" s="127"/>
      <c r="O97" s="16"/>
      <c r="P97" s="147"/>
      <c r="Q97" s="147"/>
      <c r="R97" s="147"/>
      <c r="S97" s="147"/>
      <c r="T97" s="147"/>
      <c r="U97" s="217"/>
      <c r="V97" s="147"/>
      <c r="W97" s="147"/>
      <c r="X97" s="154"/>
      <c r="Y97" s="147"/>
      <c r="Z97" s="150"/>
      <c r="AA97" s="151"/>
      <c r="AB97" s="150"/>
      <c r="AC97" s="151"/>
      <c r="AD97" s="152"/>
      <c r="AE97" s="153"/>
      <c r="AF97" s="148"/>
      <c r="AG97" s="147"/>
      <c r="AH97" s="147"/>
    </row>
    <row r="98" spans="4:34" ht="18" hidden="1" customHeight="1">
      <c r="D98" s="15">
        <v>88</v>
      </c>
      <c r="E98" s="13" t="s">
        <v>473</v>
      </c>
      <c r="F98" s="15"/>
      <c r="G98" s="118"/>
      <c r="H98" s="126"/>
      <c r="I98" s="14"/>
      <c r="J98" s="48"/>
      <c r="K98" s="118"/>
      <c r="L98" s="118"/>
      <c r="M98" s="118"/>
      <c r="N98" s="127"/>
      <c r="O98" s="16"/>
      <c r="P98" s="147"/>
      <c r="Q98" s="147"/>
      <c r="R98" s="147"/>
      <c r="S98" s="147"/>
      <c r="T98" s="147"/>
      <c r="U98" s="217"/>
      <c r="V98" s="147"/>
      <c r="W98" s="147"/>
      <c r="X98" s="154"/>
      <c r="Y98" s="147"/>
      <c r="Z98" s="214"/>
      <c r="AA98" s="215"/>
      <c r="AB98" s="214"/>
      <c r="AC98" s="215"/>
      <c r="AD98" s="152"/>
      <c r="AE98" s="153"/>
      <c r="AF98" s="148"/>
      <c r="AG98" s="147"/>
      <c r="AH98" s="147"/>
    </row>
    <row r="99" spans="4:34" ht="18" hidden="1" customHeight="1">
      <c r="D99" s="13">
        <v>89</v>
      </c>
      <c r="E99" s="13" t="s">
        <v>474</v>
      </c>
      <c r="F99" s="15"/>
      <c r="G99" s="118"/>
      <c r="H99" s="126"/>
      <c r="I99" s="14"/>
      <c r="J99" s="48"/>
      <c r="K99" s="118"/>
      <c r="L99" s="118"/>
      <c r="M99" s="118"/>
      <c r="N99" s="127"/>
      <c r="O99" s="16"/>
      <c r="P99" s="147"/>
      <c r="Q99" s="147"/>
      <c r="R99" s="147"/>
      <c r="S99" s="147"/>
      <c r="T99" s="147"/>
      <c r="U99" s="217"/>
      <c r="V99" s="147"/>
      <c r="W99" s="147"/>
      <c r="X99" s="154"/>
      <c r="Y99" s="147"/>
      <c r="Z99" s="214"/>
      <c r="AA99" s="151"/>
      <c r="AB99" s="214"/>
      <c r="AC99" s="151"/>
      <c r="AD99" s="152"/>
      <c r="AE99" s="153"/>
      <c r="AF99" s="148"/>
      <c r="AG99" s="147"/>
      <c r="AH99" s="147"/>
    </row>
    <row r="100" spans="4:34" ht="18" hidden="1" customHeight="1">
      <c r="D100" s="15">
        <v>90</v>
      </c>
      <c r="E100" s="13" t="s">
        <v>475</v>
      </c>
      <c r="F100" s="15"/>
      <c r="G100" s="118"/>
      <c r="H100" s="126"/>
      <c r="I100" s="14"/>
      <c r="J100" s="48"/>
      <c r="K100" s="118"/>
      <c r="L100" s="118"/>
      <c r="M100" s="118"/>
      <c r="N100" s="127"/>
      <c r="O100" s="16"/>
      <c r="P100" s="147"/>
      <c r="Q100" s="147"/>
      <c r="R100" s="147"/>
      <c r="S100" s="147"/>
      <c r="T100" s="147"/>
      <c r="U100" s="217"/>
      <c r="V100" s="147"/>
      <c r="W100" s="147"/>
      <c r="X100" s="154"/>
      <c r="Y100" s="147"/>
      <c r="Z100" s="214"/>
      <c r="AA100" s="151"/>
      <c r="AB100" s="214"/>
      <c r="AC100" s="151"/>
      <c r="AD100" s="152"/>
      <c r="AE100" s="153"/>
      <c r="AF100" s="148"/>
      <c r="AG100" s="147"/>
      <c r="AH100" s="147"/>
    </row>
    <row r="101" spans="4:34" ht="18" hidden="1" customHeight="1">
      <c r="D101" s="13">
        <v>91</v>
      </c>
      <c r="E101" s="13" t="s">
        <v>476</v>
      </c>
      <c r="F101" s="15"/>
      <c r="G101" s="118"/>
      <c r="H101" s="126"/>
      <c r="I101" s="14"/>
      <c r="J101" s="48"/>
      <c r="K101" s="118"/>
      <c r="L101" s="118"/>
      <c r="M101" s="118"/>
      <c r="N101" s="127"/>
      <c r="O101" s="16"/>
      <c r="P101" s="147"/>
      <c r="Q101" s="147"/>
      <c r="R101" s="147"/>
      <c r="S101" s="147"/>
      <c r="T101" s="147"/>
      <c r="U101" s="217"/>
      <c r="V101" s="147"/>
      <c r="W101" s="147"/>
      <c r="X101" s="154"/>
      <c r="Y101" s="147"/>
      <c r="Z101" s="150"/>
      <c r="AA101" s="151"/>
      <c r="AB101" s="150"/>
      <c r="AC101" s="151"/>
      <c r="AD101" s="152"/>
      <c r="AE101" s="153"/>
      <c r="AF101" s="148"/>
      <c r="AG101" s="147"/>
      <c r="AH101" s="147"/>
    </row>
    <row r="102" spans="4:34" ht="18" hidden="1" customHeight="1">
      <c r="D102" s="15">
        <v>92</v>
      </c>
      <c r="E102" s="13" t="s">
        <v>477</v>
      </c>
      <c r="F102" s="15"/>
      <c r="G102" s="118"/>
      <c r="H102" s="126"/>
      <c r="I102" s="14"/>
      <c r="J102" s="48"/>
      <c r="K102" s="118"/>
      <c r="L102" s="118"/>
      <c r="M102" s="118"/>
      <c r="N102" s="127"/>
      <c r="O102" s="16"/>
      <c r="P102" s="147"/>
      <c r="Q102" s="147"/>
      <c r="R102" s="147"/>
      <c r="S102" s="147"/>
      <c r="T102" s="147"/>
      <c r="U102" s="217"/>
      <c r="V102" s="147"/>
      <c r="W102" s="147"/>
      <c r="X102" s="154"/>
      <c r="Y102" s="147"/>
      <c r="Z102" s="150"/>
      <c r="AA102" s="151"/>
      <c r="AB102" s="150"/>
      <c r="AC102" s="151"/>
      <c r="AD102" s="152"/>
      <c r="AE102" s="153"/>
      <c r="AF102" s="148"/>
      <c r="AG102" s="147"/>
      <c r="AH102" s="147"/>
    </row>
    <row r="103" spans="4:34" ht="18" hidden="1" customHeight="1">
      <c r="D103" s="13">
        <v>93</v>
      </c>
      <c r="E103" s="13" t="s">
        <v>478</v>
      </c>
      <c r="F103" s="15"/>
      <c r="G103" s="118"/>
      <c r="H103" s="126"/>
      <c r="I103" s="14"/>
      <c r="J103" s="48"/>
      <c r="K103" s="118"/>
      <c r="L103" s="118"/>
      <c r="M103" s="118"/>
      <c r="N103" s="127"/>
      <c r="O103" s="16"/>
      <c r="P103" s="147"/>
      <c r="Q103" s="147"/>
      <c r="R103" s="147"/>
      <c r="S103" s="147"/>
      <c r="T103" s="147"/>
      <c r="U103" s="217"/>
      <c r="V103" s="147"/>
      <c r="W103" s="147"/>
      <c r="X103" s="154"/>
      <c r="Y103" s="147"/>
      <c r="Z103" s="150"/>
      <c r="AA103" s="151"/>
      <c r="AB103" s="150"/>
      <c r="AC103" s="151"/>
      <c r="AD103" s="152"/>
      <c r="AE103" s="153"/>
      <c r="AF103" s="148"/>
      <c r="AG103" s="147"/>
      <c r="AH103" s="147"/>
    </row>
    <row r="104" spans="4:34" ht="18" hidden="1" customHeight="1">
      <c r="D104" s="15">
        <v>94</v>
      </c>
      <c r="E104" s="13" t="s">
        <v>479</v>
      </c>
      <c r="F104" s="15"/>
      <c r="G104" s="118"/>
      <c r="H104" s="126"/>
      <c r="I104" s="14"/>
      <c r="J104" s="48"/>
      <c r="K104" s="118"/>
      <c r="L104" s="118"/>
      <c r="M104" s="118"/>
      <c r="N104" s="127"/>
      <c r="O104" s="16"/>
      <c r="P104" s="147"/>
      <c r="Q104" s="147"/>
      <c r="R104" s="147"/>
      <c r="S104" s="147"/>
      <c r="T104" s="147"/>
      <c r="U104" s="217"/>
      <c r="V104" s="147"/>
      <c r="W104" s="147"/>
      <c r="X104" s="154"/>
      <c r="Y104" s="147"/>
      <c r="Z104" s="150"/>
      <c r="AA104" s="151"/>
      <c r="AB104" s="150"/>
      <c r="AC104" s="151"/>
      <c r="AD104" s="152"/>
      <c r="AE104" s="153"/>
      <c r="AF104" s="148"/>
      <c r="AG104" s="147"/>
      <c r="AH104" s="147"/>
    </row>
    <row r="105" spans="4:34" ht="18" hidden="1" customHeight="1">
      <c r="D105" s="13">
        <v>95</v>
      </c>
      <c r="E105" s="13" t="s">
        <v>480</v>
      </c>
      <c r="F105" s="15"/>
      <c r="G105" s="118"/>
      <c r="H105" s="126"/>
      <c r="I105" s="14"/>
      <c r="J105" s="48"/>
      <c r="K105" s="118"/>
      <c r="L105" s="118"/>
      <c r="M105" s="118"/>
      <c r="N105" s="127"/>
      <c r="O105" s="16"/>
      <c r="P105" s="147"/>
      <c r="Q105" s="147"/>
      <c r="R105" s="147"/>
      <c r="S105" s="147"/>
      <c r="T105" s="147"/>
      <c r="U105" s="217"/>
      <c r="V105" s="147"/>
      <c r="W105" s="147"/>
      <c r="X105" s="154"/>
      <c r="Y105" s="147"/>
      <c r="Z105" s="150"/>
      <c r="AA105" s="151"/>
      <c r="AB105" s="150"/>
      <c r="AC105" s="151"/>
      <c r="AD105" s="152"/>
      <c r="AE105" s="153"/>
      <c r="AF105" s="148"/>
      <c r="AG105" s="147"/>
      <c r="AH105" s="147"/>
    </row>
    <row r="106" spans="4:34" ht="18" hidden="1" customHeight="1">
      <c r="D106" s="15">
        <v>96</v>
      </c>
      <c r="E106" s="13" t="s">
        <v>481</v>
      </c>
      <c r="F106" s="15"/>
      <c r="G106" s="118"/>
      <c r="H106" s="126"/>
      <c r="I106" s="14"/>
      <c r="J106" s="48"/>
      <c r="K106" s="118"/>
      <c r="L106" s="118"/>
      <c r="M106" s="118"/>
      <c r="N106" s="127"/>
      <c r="O106" s="16"/>
      <c r="P106" s="147"/>
      <c r="Q106" s="147"/>
      <c r="R106" s="147"/>
      <c r="S106" s="147"/>
      <c r="T106" s="147"/>
      <c r="U106" s="217"/>
      <c r="V106" s="147"/>
      <c r="W106" s="147"/>
      <c r="X106" s="154"/>
      <c r="Y106" s="147"/>
      <c r="Z106" s="150"/>
      <c r="AA106" s="151"/>
      <c r="AB106" s="150"/>
      <c r="AC106" s="151"/>
      <c r="AD106" s="152"/>
      <c r="AE106" s="153"/>
      <c r="AF106" s="148"/>
      <c r="AG106" s="147"/>
      <c r="AH106" s="147"/>
    </row>
    <row r="107" spans="4:34" ht="18" hidden="1" customHeight="1">
      <c r="D107" s="13">
        <v>97</v>
      </c>
      <c r="E107" s="13" t="s">
        <v>482</v>
      </c>
      <c r="F107" s="15"/>
      <c r="G107" s="118"/>
      <c r="H107" s="126"/>
      <c r="I107" s="14"/>
      <c r="J107" s="48"/>
      <c r="K107" s="118"/>
      <c r="L107" s="118"/>
      <c r="M107" s="118"/>
      <c r="N107" s="127"/>
      <c r="O107" s="16"/>
      <c r="P107" s="147"/>
      <c r="Q107" s="147"/>
      <c r="R107" s="147"/>
      <c r="S107" s="147"/>
      <c r="T107" s="147"/>
      <c r="U107" s="217"/>
      <c r="V107" s="147"/>
      <c r="W107" s="147"/>
      <c r="X107" s="154"/>
      <c r="Y107" s="147"/>
      <c r="Z107" s="150"/>
      <c r="AA107" s="151"/>
      <c r="AB107" s="150"/>
      <c r="AC107" s="151"/>
      <c r="AD107" s="152"/>
      <c r="AE107" s="153"/>
      <c r="AF107" s="148"/>
      <c r="AG107" s="147"/>
      <c r="AH107" s="147"/>
    </row>
    <row r="108" spans="4:34" ht="18" hidden="1" customHeight="1">
      <c r="D108" s="15">
        <v>98</v>
      </c>
      <c r="E108" s="13" t="s">
        <v>483</v>
      </c>
      <c r="F108" s="15"/>
      <c r="G108" s="118"/>
      <c r="H108" s="126"/>
      <c r="I108" s="14"/>
      <c r="J108" s="48"/>
      <c r="K108" s="118"/>
      <c r="L108" s="118"/>
      <c r="M108" s="118"/>
      <c r="N108" s="127"/>
      <c r="O108" s="16"/>
      <c r="P108" s="147"/>
      <c r="Q108" s="147"/>
      <c r="R108" s="147"/>
      <c r="S108" s="147"/>
      <c r="T108" s="147"/>
      <c r="U108" s="217"/>
      <c r="V108" s="147"/>
      <c r="W108" s="147"/>
      <c r="X108" s="154"/>
      <c r="Y108" s="147"/>
      <c r="Z108" s="150"/>
      <c r="AA108" s="151"/>
      <c r="AB108" s="150"/>
      <c r="AC108" s="151"/>
      <c r="AD108" s="152"/>
      <c r="AE108" s="153"/>
      <c r="AF108" s="148"/>
      <c r="AG108" s="147"/>
      <c r="AH108" s="147"/>
    </row>
    <row r="109" spans="4:34" ht="18" hidden="1" customHeight="1">
      <c r="D109" s="13">
        <v>99</v>
      </c>
      <c r="E109" s="13" t="s">
        <v>484</v>
      </c>
      <c r="F109" s="15"/>
      <c r="G109" s="118"/>
      <c r="H109" s="126"/>
      <c r="I109" s="14"/>
      <c r="J109" s="48"/>
      <c r="K109" s="118"/>
      <c r="L109" s="118"/>
      <c r="M109" s="118"/>
      <c r="N109" s="127"/>
      <c r="O109" s="16"/>
      <c r="P109" s="147"/>
      <c r="Q109" s="147"/>
      <c r="R109" s="147"/>
      <c r="S109" s="147"/>
      <c r="T109" s="147"/>
      <c r="U109" s="217"/>
      <c r="V109" s="147"/>
      <c r="W109" s="147"/>
      <c r="X109" s="154"/>
      <c r="Y109" s="147"/>
      <c r="Z109" s="150"/>
      <c r="AA109" s="151"/>
      <c r="AB109" s="150"/>
      <c r="AC109" s="151"/>
      <c r="AD109" s="152"/>
      <c r="AE109" s="153"/>
      <c r="AF109" s="148"/>
      <c r="AG109" s="147"/>
      <c r="AH109" s="147"/>
    </row>
    <row r="110" spans="4:34" ht="18" hidden="1" customHeight="1">
      <c r="D110" s="15">
        <v>100</v>
      </c>
      <c r="E110" s="13" t="s">
        <v>485</v>
      </c>
      <c r="F110" s="15"/>
      <c r="G110" s="118"/>
      <c r="H110" s="126"/>
      <c r="I110" s="14"/>
      <c r="J110" s="48"/>
      <c r="K110" s="118"/>
      <c r="L110" s="118"/>
      <c r="M110" s="118"/>
      <c r="N110" s="127"/>
      <c r="O110" s="16"/>
      <c r="P110" s="147"/>
      <c r="Q110" s="147"/>
      <c r="R110" s="147"/>
      <c r="S110" s="147"/>
      <c r="T110" s="147"/>
      <c r="U110" s="217"/>
      <c r="V110" s="147"/>
      <c r="W110" s="147"/>
      <c r="X110" s="154"/>
      <c r="Y110" s="147"/>
      <c r="Z110" s="150"/>
      <c r="AA110" s="151"/>
      <c r="AB110" s="150"/>
      <c r="AC110" s="151"/>
      <c r="AD110" s="152"/>
      <c r="AE110" s="153"/>
      <c r="AF110" s="148"/>
      <c r="AG110" s="147"/>
      <c r="AH110" s="147"/>
    </row>
    <row r="111" spans="4:34" ht="18" hidden="1" customHeight="1">
      <c r="D111" s="13">
        <v>101</v>
      </c>
      <c r="E111" s="13" t="s">
        <v>486</v>
      </c>
      <c r="F111" s="15"/>
      <c r="G111" s="118"/>
      <c r="H111" s="126"/>
      <c r="I111" s="14"/>
      <c r="J111" s="48"/>
      <c r="K111" s="118"/>
      <c r="L111" s="118"/>
      <c r="M111" s="118"/>
      <c r="N111" s="127"/>
      <c r="O111" s="127"/>
      <c r="P111" s="147"/>
      <c r="Q111" s="147"/>
      <c r="R111" s="147"/>
      <c r="S111" s="147"/>
      <c r="T111" s="147"/>
      <c r="U111" s="217"/>
      <c r="V111" s="147"/>
      <c r="W111" s="147"/>
      <c r="X111" s="154"/>
      <c r="Y111" s="147"/>
      <c r="Z111" s="150"/>
      <c r="AA111" s="151"/>
      <c r="AB111" s="150"/>
      <c r="AC111" s="151"/>
      <c r="AD111" s="152"/>
      <c r="AE111" s="153"/>
      <c r="AF111" s="148"/>
      <c r="AG111" s="147"/>
      <c r="AH111" s="147"/>
    </row>
    <row r="112" spans="4:34" ht="18" hidden="1" customHeight="1">
      <c r="D112" s="15">
        <v>102</v>
      </c>
      <c r="E112" s="13" t="s">
        <v>487</v>
      </c>
      <c r="F112" s="15"/>
      <c r="G112" s="118"/>
      <c r="H112" s="126"/>
      <c r="I112" s="14"/>
      <c r="J112" s="48"/>
      <c r="K112" s="118"/>
      <c r="L112" s="118"/>
      <c r="M112" s="118"/>
      <c r="N112" s="127"/>
      <c r="O112" s="16"/>
      <c r="P112" s="147"/>
      <c r="Q112" s="147"/>
      <c r="R112" s="147"/>
      <c r="S112" s="147"/>
      <c r="T112" s="147"/>
      <c r="U112" s="217"/>
      <c r="V112" s="147"/>
      <c r="W112" s="147"/>
      <c r="X112" s="154"/>
      <c r="Y112" s="147"/>
      <c r="Z112" s="150"/>
      <c r="AA112" s="151"/>
      <c r="AB112" s="150"/>
      <c r="AC112" s="151"/>
      <c r="AD112" s="152"/>
      <c r="AE112" s="153"/>
      <c r="AF112" s="148"/>
      <c r="AG112" s="147"/>
      <c r="AH112" s="147"/>
    </row>
    <row r="113" spans="4:34" ht="18" hidden="1" customHeight="1">
      <c r="D113" s="13">
        <v>103</v>
      </c>
      <c r="E113" s="13" t="s">
        <v>488</v>
      </c>
      <c r="F113" s="15"/>
      <c r="G113" s="118"/>
      <c r="H113" s="126"/>
      <c r="I113" s="14"/>
      <c r="J113" s="48"/>
      <c r="K113" s="118"/>
      <c r="L113" s="118"/>
      <c r="M113" s="118"/>
      <c r="N113" s="127"/>
      <c r="O113" s="16"/>
      <c r="P113" s="147"/>
      <c r="Q113" s="147"/>
      <c r="R113" s="147"/>
      <c r="S113" s="147"/>
      <c r="T113" s="147"/>
      <c r="U113" s="217"/>
      <c r="V113" s="147"/>
      <c r="W113" s="147"/>
      <c r="X113" s="154"/>
      <c r="Y113" s="147"/>
      <c r="Z113" s="150"/>
      <c r="AA113" s="151"/>
      <c r="AB113" s="150"/>
      <c r="AC113" s="151"/>
      <c r="AD113" s="152"/>
      <c r="AE113" s="153"/>
      <c r="AF113" s="148"/>
      <c r="AG113" s="147"/>
      <c r="AH113" s="147"/>
    </row>
    <row r="114" spans="4:34" ht="18" hidden="1" customHeight="1">
      <c r="D114" s="15">
        <v>104</v>
      </c>
      <c r="E114" s="13" t="s">
        <v>489</v>
      </c>
      <c r="F114" s="15"/>
      <c r="G114" s="118"/>
      <c r="H114" s="126"/>
      <c r="I114" s="14"/>
      <c r="J114" s="48"/>
      <c r="K114" s="118"/>
      <c r="L114" s="118"/>
      <c r="M114" s="118"/>
      <c r="N114" s="127"/>
      <c r="O114" s="16"/>
      <c r="P114" s="147"/>
      <c r="Q114" s="147"/>
      <c r="R114" s="147"/>
      <c r="S114" s="147"/>
      <c r="T114" s="147"/>
      <c r="U114" s="217"/>
      <c r="V114" s="147"/>
      <c r="W114" s="147"/>
      <c r="X114" s="154"/>
      <c r="Y114" s="147"/>
      <c r="Z114" s="150"/>
      <c r="AA114" s="151"/>
      <c r="AB114" s="150"/>
      <c r="AC114" s="151"/>
      <c r="AD114" s="152"/>
      <c r="AE114" s="153"/>
      <c r="AF114" s="148"/>
      <c r="AG114" s="147"/>
      <c r="AH114" s="147"/>
    </row>
    <row r="115" spans="4:34" ht="18" hidden="1" customHeight="1">
      <c r="D115" s="13">
        <v>105</v>
      </c>
      <c r="E115" s="13" t="s">
        <v>490</v>
      </c>
      <c r="F115" s="15"/>
      <c r="G115" s="118"/>
      <c r="H115" s="126"/>
      <c r="I115" s="14"/>
      <c r="J115" s="48"/>
      <c r="K115" s="118"/>
      <c r="L115" s="118"/>
      <c r="M115" s="118"/>
      <c r="N115" s="127"/>
      <c r="O115" s="16"/>
      <c r="P115" s="147"/>
      <c r="Q115" s="147"/>
      <c r="R115" s="147"/>
      <c r="S115" s="147"/>
      <c r="T115" s="147"/>
      <c r="U115" s="217"/>
      <c r="V115" s="147"/>
      <c r="W115" s="147"/>
      <c r="X115" s="154"/>
      <c r="Y115" s="147"/>
      <c r="Z115" s="150"/>
      <c r="AA115" s="151"/>
      <c r="AB115" s="150"/>
      <c r="AC115" s="151"/>
      <c r="AD115" s="152"/>
      <c r="AE115" s="153"/>
      <c r="AF115" s="148"/>
      <c r="AG115" s="147"/>
      <c r="AH115" s="147"/>
    </row>
    <row r="116" spans="4:34" ht="18" hidden="1" customHeight="1">
      <c r="D116" s="15">
        <v>106</v>
      </c>
      <c r="E116" s="13" t="s">
        <v>491</v>
      </c>
      <c r="F116" s="15"/>
      <c r="G116" s="118"/>
      <c r="H116" s="126"/>
      <c r="I116" s="14"/>
      <c r="J116" s="48"/>
      <c r="K116" s="118"/>
      <c r="L116" s="118"/>
      <c r="M116" s="118"/>
      <c r="N116" s="127"/>
      <c r="O116" s="16"/>
      <c r="P116" s="147"/>
      <c r="Q116" s="147"/>
      <c r="R116" s="147"/>
      <c r="S116" s="147"/>
      <c r="T116" s="147"/>
      <c r="U116" s="217"/>
      <c r="V116" s="147"/>
      <c r="W116" s="147"/>
      <c r="X116" s="154"/>
      <c r="Y116" s="147"/>
      <c r="Z116" s="150"/>
      <c r="AA116" s="151"/>
      <c r="AB116" s="150"/>
      <c r="AC116" s="151"/>
      <c r="AD116" s="152"/>
      <c r="AE116" s="153"/>
      <c r="AF116" s="148"/>
      <c r="AG116" s="147"/>
      <c r="AH116" s="147"/>
    </row>
    <row r="117" spans="4:34" ht="18" hidden="1" customHeight="1">
      <c r="D117" s="13">
        <v>107</v>
      </c>
      <c r="E117" s="13" t="s">
        <v>492</v>
      </c>
      <c r="F117" s="15"/>
      <c r="G117" s="118"/>
      <c r="H117" s="126"/>
      <c r="I117" s="14"/>
      <c r="J117" s="48"/>
      <c r="K117" s="118"/>
      <c r="L117" s="118"/>
      <c r="M117" s="118"/>
      <c r="N117" s="127"/>
      <c r="O117" s="16"/>
      <c r="P117" s="147"/>
      <c r="Q117" s="147"/>
      <c r="R117" s="147"/>
      <c r="S117" s="147"/>
      <c r="T117" s="147"/>
      <c r="U117" s="217"/>
      <c r="V117" s="147"/>
      <c r="W117" s="147"/>
      <c r="X117" s="154"/>
      <c r="Y117" s="147"/>
      <c r="Z117" s="150"/>
      <c r="AA117" s="151"/>
      <c r="AB117" s="150"/>
      <c r="AC117" s="151"/>
      <c r="AD117" s="152"/>
      <c r="AE117" s="153"/>
      <c r="AF117" s="148"/>
      <c r="AG117" s="147"/>
      <c r="AH117" s="147"/>
    </row>
    <row r="118" spans="4:34" ht="18" hidden="1" customHeight="1">
      <c r="D118" s="15">
        <v>108</v>
      </c>
      <c r="E118" s="13" t="s">
        <v>493</v>
      </c>
      <c r="F118" s="15"/>
      <c r="G118" s="118"/>
      <c r="H118" s="126"/>
      <c r="I118" s="14"/>
      <c r="J118" s="48"/>
      <c r="K118" s="118"/>
      <c r="L118" s="118"/>
      <c r="M118" s="118"/>
      <c r="N118" s="127"/>
      <c r="O118" s="127"/>
      <c r="P118" s="147"/>
      <c r="Q118" s="147"/>
      <c r="R118" s="147"/>
      <c r="S118" s="147"/>
      <c r="T118" s="147"/>
      <c r="U118" s="217"/>
      <c r="V118" s="147"/>
      <c r="W118" s="147"/>
      <c r="X118" s="154"/>
      <c r="Y118" s="147"/>
      <c r="Z118" s="150"/>
      <c r="AA118" s="151"/>
      <c r="AB118" s="150"/>
      <c r="AC118" s="151"/>
      <c r="AD118" s="152"/>
      <c r="AE118" s="153"/>
      <c r="AF118" s="148"/>
      <c r="AG118" s="147"/>
      <c r="AH118" s="147"/>
    </row>
    <row r="119" spans="4:34" ht="18" hidden="1" customHeight="1">
      <c r="D119" s="13">
        <v>109</v>
      </c>
      <c r="E119" s="13" t="s">
        <v>494</v>
      </c>
      <c r="F119" s="15"/>
      <c r="G119" s="118"/>
      <c r="H119" s="126"/>
      <c r="I119" s="14"/>
      <c r="J119" s="48"/>
      <c r="K119" s="118"/>
      <c r="L119" s="118"/>
      <c r="M119" s="118"/>
      <c r="N119" s="127"/>
      <c r="O119" s="16"/>
      <c r="P119" s="147"/>
      <c r="Q119" s="147"/>
      <c r="R119" s="147"/>
      <c r="S119" s="147"/>
      <c r="T119" s="147"/>
      <c r="U119" s="217"/>
      <c r="V119" s="147"/>
      <c r="W119" s="147"/>
      <c r="X119" s="154"/>
      <c r="Y119" s="147"/>
      <c r="Z119" s="150"/>
      <c r="AA119" s="151"/>
      <c r="AB119" s="150"/>
      <c r="AC119" s="151"/>
      <c r="AD119" s="152"/>
      <c r="AE119" s="153"/>
      <c r="AF119" s="148"/>
      <c r="AG119" s="147"/>
      <c r="AH119" s="147"/>
    </row>
    <row r="120" spans="4:34" ht="18" hidden="1" customHeight="1">
      <c r="D120" s="15">
        <v>110</v>
      </c>
      <c r="E120" s="13" t="s">
        <v>495</v>
      </c>
      <c r="F120" s="15"/>
      <c r="G120" s="118"/>
      <c r="H120" s="126"/>
      <c r="I120" s="14"/>
      <c r="J120" s="48"/>
      <c r="K120" s="118"/>
      <c r="L120" s="118"/>
      <c r="M120" s="118"/>
      <c r="N120" s="127"/>
      <c r="O120" s="16"/>
      <c r="P120" s="147"/>
      <c r="Q120" s="147"/>
      <c r="R120" s="147"/>
      <c r="S120" s="147"/>
      <c r="T120" s="147"/>
      <c r="U120" s="217"/>
      <c r="V120" s="147"/>
      <c r="W120" s="147"/>
      <c r="X120" s="154"/>
      <c r="Y120" s="147"/>
      <c r="Z120" s="150"/>
      <c r="AA120" s="151"/>
      <c r="AB120" s="150"/>
      <c r="AC120" s="151"/>
      <c r="AD120" s="152"/>
      <c r="AE120" s="153"/>
      <c r="AF120" s="148"/>
      <c r="AG120" s="147"/>
      <c r="AH120" s="147"/>
    </row>
    <row r="121" spans="4:34" ht="18" hidden="1" customHeight="1">
      <c r="D121" s="13">
        <v>111</v>
      </c>
      <c r="E121" s="13" t="s">
        <v>496</v>
      </c>
      <c r="F121" s="15"/>
      <c r="G121" s="118"/>
      <c r="H121" s="126"/>
      <c r="I121" s="14"/>
      <c r="J121" s="48"/>
      <c r="K121" s="118"/>
      <c r="L121" s="118"/>
      <c r="M121" s="118"/>
      <c r="N121" s="127"/>
      <c r="O121" s="16"/>
      <c r="P121" s="147"/>
      <c r="Q121" s="147"/>
      <c r="R121" s="147"/>
      <c r="S121" s="147"/>
      <c r="T121" s="147"/>
      <c r="U121" s="217"/>
      <c r="V121" s="147"/>
      <c r="W121" s="147"/>
      <c r="X121" s="154"/>
      <c r="Y121" s="147"/>
      <c r="Z121" s="150"/>
      <c r="AA121" s="151"/>
      <c r="AB121" s="150"/>
      <c r="AC121" s="151"/>
      <c r="AD121" s="152"/>
      <c r="AE121" s="153"/>
      <c r="AF121" s="148"/>
      <c r="AG121" s="147"/>
      <c r="AH121" s="147"/>
    </row>
    <row r="122" spans="4:34" ht="18" hidden="1" customHeight="1">
      <c r="D122" s="15">
        <v>112</v>
      </c>
      <c r="E122" s="13" t="s">
        <v>497</v>
      </c>
      <c r="F122" s="15"/>
      <c r="G122" s="118"/>
      <c r="H122" s="126"/>
      <c r="I122" s="14"/>
      <c r="J122" s="48"/>
      <c r="K122" s="118"/>
      <c r="L122" s="118"/>
      <c r="M122" s="118"/>
      <c r="N122" s="127"/>
      <c r="O122" s="16"/>
      <c r="P122" s="147"/>
      <c r="Q122" s="147"/>
      <c r="R122" s="147"/>
      <c r="S122" s="147"/>
      <c r="T122" s="147"/>
      <c r="U122" s="217"/>
      <c r="V122" s="147"/>
      <c r="W122" s="147"/>
      <c r="X122" s="154"/>
      <c r="Y122" s="147"/>
      <c r="Z122" s="150"/>
      <c r="AA122" s="151"/>
      <c r="AB122" s="150"/>
      <c r="AC122" s="151"/>
      <c r="AD122" s="152"/>
      <c r="AE122" s="153"/>
      <c r="AF122" s="148"/>
      <c r="AG122" s="147"/>
      <c r="AH122" s="147"/>
    </row>
    <row r="123" spans="4:34" ht="18" hidden="1" customHeight="1">
      <c r="D123" s="13">
        <v>113</v>
      </c>
      <c r="E123" s="13" t="s">
        <v>498</v>
      </c>
      <c r="F123" s="15"/>
      <c r="G123" s="118"/>
      <c r="H123" s="126"/>
      <c r="I123" s="14"/>
      <c r="J123" s="48"/>
      <c r="K123" s="118"/>
      <c r="L123" s="118"/>
      <c r="M123" s="118"/>
      <c r="N123" s="127"/>
      <c r="O123" s="16"/>
      <c r="P123" s="147"/>
      <c r="Q123" s="147"/>
      <c r="R123" s="147"/>
      <c r="S123" s="147"/>
      <c r="T123" s="147"/>
      <c r="U123" s="217"/>
      <c r="V123" s="147"/>
      <c r="W123" s="147"/>
      <c r="X123" s="154"/>
      <c r="Y123" s="147"/>
      <c r="Z123" s="150"/>
      <c r="AA123" s="151"/>
      <c r="AB123" s="150"/>
      <c r="AC123" s="151"/>
      <c r="AD123" s="152"/>
      <c r="AE123" s="153"/>
      <c r="AF123" s="148"/>
      <c r="AG123" s="147"/>
      <c r="AH123" s="147"/>
    </row>
    <row r="124" spans="4:34" ht="18" hidden="1" customHeight="1">
      <c r="D124" s="15">
        <v>114</v>
      </c>
      <c r="E124" s="13" t="s">
        <v>499</v>
      </c>
      <c r="F124" s="15"/>
      <c r="G124" s="118"/>
      <c r="H124" s="126"/>
      <c r="I124" s="14"/>
      <c r="J124" s="48"/>
      <c r="K124" s="118"/>
      <c r="L124" s="118"/>
      <c r="M124" s="118"/>
      <c r="N124" s="127"/>
      <c r="O124" s="16"/>
      <c r="P124" s="147"/>
      <c r="Q124" s="147"/>
      <c r="R124" s="147"/>
      <c r="S124" s="147"/>
      <c r="T124" s="147"/>
      <c r="U124" s="217"/>
      <c r="V124" s="147"/>
      <c r="W124" s="147"/>
      <c r="X124" s="154"/>
      <c r="Y124" s="147"/>
      <c r="Z124" s="150"/>
      <c r="AA124" s="151"/>
      <c r="AB124" s="150"/>
      <c r="AC124" s="151"/>
      <c r="AD124" s="152"/>
      <c r="AE124" s="153"/>
      <c r="AF124" s="148"/>
      <c r="AG124" s="147"/>
      <c r="AH124" s="147"/>
    </row>
    <row r="125" spans="4:34" ht="18" hidden="1" customHeight="1">
      <c r="D125" s="13">
        <v>115</v>
      </c>
      <c r="E125" s="13" t="s">
        <v>500</v>
      </c>
      <c r="F125" s="15"/>
      <c r="G125" s="118"/>
      <c r="H125" s="126"/>
      <c r="I125" s="14"/>
      <c r="J125" s="48"/>
      <c r="K125" s="118"/>
      <c r="L125" s="118"/>
      <c r="M125" s="118"/>
      <c r="N125" s="127"/>
      <c r="O125" s="16"/>
      <c r="P125" s="147"/>
      <c r="Q125" s="147"/>
      <c r="R125" s="147"/>
      <c r="S125" s="147"/>
      <c r="T125" s="147"/>
      <c r="U125" s="217"/>
      <c r="V125" s="147"/>
      <c r="W125" s="147"/>
      <c r="X125" s="154"/>
      <c r="Y125" s="147"/>
      <c r="Z125" s="150"/>
      <c r="AA125" s="151"/>
      <c r="AB125" s="150"/>
      <c r="AC125" s="151"/>
      <c r="AD125" s="152"/>
      <c r="AE125" s="153"/>
      <c r="AF125" s="148"/>
      <c r="AG125" s="147"/>
      <c r="AH125" s="147"/>
    </row>
    <row r="126" spans="4:34" ht="18" hidden="1" customHeight="1">
      <c r="D126" s="15">
        <v>116</v>
      </c>
      <c r="E126" s="13" t="s">
        <v>501</v>
      </c>
      <c r="F126" s="15"/>
      <c r="G126" s="118"/>
      <c r="H126" s="126"/>
      <c r="I126" s="14"/>
      <c r="J126" s="48"/>
      <c r="K126" s="118"/>
      <c r="L126" s="118"/>
      <c r="M126" s="118"/>
      <c r="N126" s="127"/>
      <c r="O126" s="16"/>
      <c r="P126" s="147"/>
      <c r="Q126" s="147"/>
      <c r="R126" s="147"/>
      <c r="S126" s="147"/>
      <c r="T126" s="147"/>
      <c r="U126" s="217"/>
      <c r="V126" s="147"/>
      <c r="W126" s="147"/>
      <c r="X126" s="154"/>
      <c r="Y126" s="147"/>
      <c r="Z126" s="150"/>
      <c r="AA126" s="151"/>
      <c r="AB126" s="150"/>
      <c r="AC126" s="151"/>
      <c r="AD126" s="152"/>
      <c r="AE126" s="153"/>
      <c r="AF126" s="148"/>
      <c r="AG126" s="147"/>
      <c r="AH126" s="147"/>
    </row>
    <row r="127" spans="4:34" ht="18" hidden="1" customHeight="1">
      <c r="D127" s="13">
        <v>117</v>
      </c>
      <c r="E127" s="13" t="s">
        <v>502</v>
      </c>
      <c r="F127" s="15"/>
      <c r="G127" s="118"/>
      <c r="H127" s="126"/>
      <c r="I127" s="14"/>
      <c r="J127" s="48"/>
      <c r="K127" s="118"/>
      <c r="L127" s="118"/>
      <c r="M127" s="118"/>
      <c r="N127" s="127"/>
      <c r="O127" s="16"/>
      <c r="P127" s="147"/>
      <c r="Q127" s="147"/>
      <c r="R127" s="147"/>
      <c r="S127" s="147"/>
      <c r="T127" s="147"/>
      <c r="U127" s="217"/>
      <c r="V127" s="147"/>
      <c r="W127" s="147"/>
      <c r="X127" s="154"/>
      <c r="Y127" s="147"/>
      <c r="Z127" s="150"/>
      <c r="AA127" s="151"/>
      <c r="AB127" s="150"/>
      <c r="AC127" s="151"/>
      <c r="AD127" s="152"/>
      <c r="AE127" s="153"/>
      <c r="AF127" s="148"/>
      <c r="AG127" s="147"/>
      <c r="AH127" s="147"/>
    </row>
    <row r="128" spans="4:34" ht="18" hidden="1" customHeight="1">
      <c r="D128" s="15">
        <v>118</v>
      </c>
      <c r="E128" s="13" t="s">
        <v>503</v>
      </c>
      <c r="F128" s="15"/>
      <c r="G128" s="118"/>
      <c r="H128" s="126"/>
      <c r="I128" s="14"/>
      <c r="J128" s="48"/>
      <c r="K128" s="118"/>
      <c r="L128" s="118"/>
      <c r="M128" s="118"/>
      <c r="N128" s="127"/>
      <c r="O128" s="16"/>
      <c r="P128" s="147"/>
      <c r="Q128" s="147"/>
      <c r="R128" s="147"/>
      <c r="S128" s="147"/>
      <c r="T128" s="147"/>
      <c r="U128" s="217"/>
      <c r="V128" s="147"/>
      <c r="W128" s="147"/>
      <c r="X128" s="154"/>
      <c r="Y128" s="147"/>
      <c r="Z128" s="150"/>
      <c r="AA128" s="151"/>
      <c r="AB128" s="150"/>
      <c r="AC128" s="151"/>
      <c r="AD128" s="152"/>
      <c r="AE128" s="153"/>
      <c r="AF128" s="148"/>
      <c r="AG128" s="147"/>
      <c r="AH128" s="147"/>
    </row>
    <row r="129" spans="4:34" ht="18" hidden="1" customHeight="1">
      <c r="D129" s="13">
        <v>119</v>
      </c>
      <c r="E129" s="13" t="s">
        <v>504</v>
      </c>
      <c r="F129" s="15"/>
      <c r="G129" s="118"/>
      <c r="H129" s="126"/>
      <c r="I129" s="14"/>
      <c r="J129" s="48"/>
      <c r="K129" s="118"/>
      <c r="L129" s="118"/>
      <c r="M129" s="118"/>
      <c r="N129" s="127"/>
      <c r="O129" s="16"/>
      <c r="P129" s="147"/>
      <c r="Q129" s="147"/>
      <c r="R129" s="147"/>
      <c r="S129" s="147"/>
      <c r="T129" s="147"/>
      <c r="U129" s="217"/>
      <c r="V129" s="147"/>
      <c r="W129" s="147"/>
      <c r="X129" s="154"/>
      <c r="Y129" s="147"/>
      <c r="Z129" s="150"/>
      <c r="AA129" s="151"/>
      <c r="AB129" s="150"/>
      <c r="AC129" s="151"/>
      <c r="AD129" s="152"/>
      <c r="AE129" s="153"/>
      <c r="AF129" s="148"/>
      <c r="AG129" s="147"/>
      <c r="AH129" s="147"/>
    </row>
    <row r="130" spans="4:34" ht="18" hidden="1" customHeight="1">
      <c r="D130" s="15">
        <v>120</v>
      </c>
      <c r="E130" s="13" t="s">
        <v>505</v>
      </c>
      <c r="F130" s="15"/>
      <c r="G130" s="118"/>
      <c r="H130" s="126"/>
      <c r="I130" s="14"/>
      <c r="J130" s="48"/>
      <c r="K130" s="118"/>
      <c r="L130" s="118"/>
      <c r="M130" s="118"/>
      <c r="N130" s="127"/>
      <c r="O130" s="16"/>
      <c r="P130" s="147"/>
      <c r="Q130" s="147"/>
      <c r="R130" s="147"/>
      <c r="S130" s="147"/>
      <c r="T130" s="147"/>
      <c r="U130" s="217"/>
      <c r="V130" s="147"/>
      <c r="W130" s="147"/>
      <c r="X130" s="154"/>
      <c r="Y130" s="147"/>
      <c r="Z130" s="150"/>
      <c r="AA130" s="151"/>
      <c r="AB130" s="150"/>
      <c r="AC130" s="151"/>
      <c r="AD130" s="152"/>
      <c r="AE130" s="153"/>
      <c r="AF130" s="148"/>
      <c r="AG130" s="147"/>
      <c r="AH130" s="147"/>
    </row>
    <row r="131" spans="4:34" ht="18" hidden="1" customHeight="1">
      <c r="D131" s="13">
        <v>121</v>
      </c>
      <c r="E131" s="13" t="s">
        <v>506</v>
      </c>
      <c r="F131" s="15"/>
      <c r="G131" s="118"/>
      <c r="H131" s="126"/>
      <c r="I131" s="14"/>
      <c r="J131" s="48"/>
      <c r="K131" s="118"/>
      <c r="L131" s="118"/>
      <c r="M131" s="118"/>
      <c r="N131" s="127"/>
      <c r="O131" s="127"/>
      <c r="P131" s="147"/>
      <c r="Q131" s="147"/>
      <c r="R131" s="147"/>
      <c r="S131" s="147"/>
      <c r="T131" s="147"/>
      <c r="U131" s="217"/>
      <c r="V131" s="147"/>
      <c r="W131" s="147"/>
      <c r="X131" s="154"/>
      <c r="Y131" s="147"/>
      <c r="Z131" s="150"/>
      <c r="AA131" s="151"/>
      <c r="AB131" s="150"/>
      <c r="AC131" s="151"/>
      <c r="AD131" s="152"/>
      <c r="AE131" s="153"/>
      <c r="AF131" s="148"/>
      <c r="AG131" s="147"/>
      <c r="AH131" s="147"/>
    </row>
    <row r="132" spans="4:34" ht="18" hidden="1" customHeight="1">
      <c r="D132" s="15">
        <v>122</v>
      </c>
      <c r="E132" s="13" t="s">
        <v>507</v>
      </c>
      <c r="F132" s="15"/>
      <c r="G132" s="118"/>
      <c r="H132" s="126"/>
      <c r="I132" s="14"/>
      <c r="J132" s="48"/>
      <c r="K132" s="118"/>
      <c r="L132" s="118"/>
      <c r="M132" s="118"/>
      <c r="N132" s="127"/>
      <c r="O132" s="16"/>
      <c r="P132" s="147"/>
      <c r="Q132" s="147"/>
      <c r="R132" s="147"/>
      <c r="S132" s="147"/>
      <c r="T132" s="147"/>
      <c r="U132" s="217"/>
      <c r="V132" s="147"/>
      <c r="W132" s="147"/>
      <c r="X132" s="154"/>
      <c r="Y132" s="147"/>
      <c r="Z132" s="150"/>
      <c r="AA132" s="151"/>
      <c r="AB132" s="150"/>
      <c r="AC132" s="151"/>
      <c r="AD132" s="152"/>
      <c r="AE132" s="153"/>
      <c r="AF132" s="148"/>
      <c r="AG132" s="147"/>
      <c r="AH132" s="147"/>
    </row>
    <row r="133" spans="4:34" ht="18" hidden="1" customHeight="1">
      <c r="D133" s="13">
        <v>123</v>
      </c>
      <c r="E133" s="13" t="s">
        <v>508</v>
      </c>
      <c r="F133" s="15"/>
      <c r="G133" s="118"/>
      <c r="H133" s="126"/>
      <c r="I133" s="14"/>
      <c r="J133" s="48"/>
      <c r="K133" s="118"/>
      <c r="L133" s="118"/>
      <c r="M133" s="118"/>
      <c r="N133" s="127"/>
      <c r="O133" s="16"/>
      <c r="P133" s="147"/>
      <c r="Q133" s="147"/>
      <c r="R133" s="147"/>
      <c r="S133" s="147"/>
      <c r="T133" s="147"/>
      <c r="U133" s="217"/>
      <c r="V133" s="147"/>
      <c r="W133" s="147"/>
      <c r="X133" s="154"/>
      <c r="Y133" s="147"/>
      <c r="Z133" s="150"/>
      <c r="AA133" s="151"/>
      <c r="AB133" s="150"/>
      <c r="AC133" s="151"/>
      <c r="AD133" s="152"/>
      <c r="AE133" s="153"/>
      <c r="AF133" s="148"/>
      <c r="AG133" s="147"/>
      <c r="AH133" s="147"/>
    </row>
    <row r="134" spans="4:34" ht="18" hidden="1" customHeight="1">
      <c r="D134" s="15">
        <v>124</v>
      </c>
      <c r="E134" s="13" t="s">
        <v>509</v>
      </c>
      <c r="F134" s="15"/>
      <c r="G134" s="118"/>
      <c r="H134" s="126"/>
      <c r="I134" s="14"/>
      <c r="J134" s="48"/>
      <c r="K134" s="118"/>
      <c r="L134" s="118"/>
      <c r="M134" s="118"/>
      <c r="N134" s="127"/>
      <c r="O134" s="16"/>
      <c r="P134" s="147"/>
      <c r="Q134" s="147"/>
      <c r="R134" s="147"/>
      <c r="S134" s="147"/>
      <c r="T134" s="147"/>
      <c r="U134" s="217"/>
      <c r="V134" s="147"/>
      <c r="W134" s="147"/>
      <c r="X134" s="154"/>
      <c r="Y134" s="147"/>
      <c r="Z134" s="150"/>
      <c r="AA134" s="151"/>
      <c r="AB134" s="150"/>
      <c r="AC134" s="151"/>
      <c r="AD134" s="152"/>
      <c r="AE134" s="153"/>
      <c r="AF134" s="148"/>
      <c r="AG134" s="147"/>
      <c r="AH134" s="147"/>
    </row>
    <row r="135" spans="4:34" ht="18" hidden="1" customHeight="1">
      <c r="D135" s="13">
        <v>125</v>
      </c>
      <c r="E135" s="13" t="s">
        <v>510</v>
      </c>
      <c r="F135" s="15"/>
      <c r="G135" s="118"/>
      <c r="H135" s="126"/>
      <c r="I135" s="14"/>
      <c r="J135" s="48"/>
      <c r="K135" s="118"/>
      <c r="L135" s="118"/>
      <c r="M135" s="118"/>
      <c r="N135" s="127"/>
      <c r="O135" s="16"/>
      <c r="P135" s="147"/>
      <c r="Q135" s="147"/>
      <c r="R135" s="147"/>
      <c r="S135" s="147"/>
      <c r="T135" s="147"/>
      <c r="U135" s="217"/>
      <c r="V135" s="147"/>
      <c r="W135" s="147"/>
      <c r="X135" s="154"/>
      <c r="Y135" s="147"/>
      <c r="Z135" s="150"/>
      <c r="AA135" s="151"/>
      <c r="AB135" s="150"/>
      <c r="AC135" s="151"/>
      <c r="AD135" s="152"/>
      <c r="AE135" s="153"/>
      <c r="AF135" s="148"/>
      <c r="AG135" s="147"/>
      <c r="AH135" s="147"/>
    </row>
    <row r="136" spans="4:34" ht="18" hidden="1" customHeight="1">
      <c r="D136" s="15">
        <v>126</v>
      </c>
      <c r="E136" s="13" t="s">
        <v>511</v>
      </c>
      <c r="F136" s="15"/>
      <c r="G136" s="118"/>
      <c r="H136" s="126"/>
      <c r="I136" s="14"/>
      <c r="J136" s="48"/>
      <c r="K136" s="118"/>
      <c r="L136" s="118"/>
      <c r="M136" s="118"/>
      <c r="N136" s="127"/>
      <c r="O136" s="16"/>
      <c r="P136" s="147"/>
      <c r="Q136" s="147"/>
      <c r="R136" s="147"/>
      <c r="S136" s="147"/>
      <c r="T136" s="147"/>
      <c r="U136" s="217"/>
      <c r="V136" s="147"/>
      <c r="W136" s="147"/>
      <c r="X136" s="154"/>
      <c r="Y136" s="147"/>
      <c r="Z136" s="150"/>
      <c r="AA136" s="151"/>
      <c r="AB136" s="150"/>
      <c r="AC136" s="151"/>
      <c r="AD136" s="152"/>
      <c r="AE136" s="153"/>
      <c r="AF136" s="148"/>
      <c r="AG136" s="147"/>
      <c r="AH136" s="147"/>
    </row>
    <row r="137" spans="4:34" ht="18" hidden="1" customHeight="1">
      <c r="D137" s="13">
        <v>127</v>
      </c>
      <c r="E137" s="13" t="s">
        <v>512</v>
      </c>
      <c r="F137" s="15"/>
      <c r="G137" s="118"/>
      <c r="H137" s="126"/>
      <c r="I137" s="14"/>
      <c r="J137" s="48"/>
      <c r="K137" s="118"/>
      <c r="L137" s="118"/>
      <c r="M137" s="118"/>
      <c r="N137" s="127"/>
      <c r="O137" s="16"/>
      <c r="P137" s="147"/>
      <c r="Q137" s="147"/>
      <c r="R137" s="147"/>
      <c r="S137" s="147"/>
      <c r="T137" s="147"/>
      <c r="U137" s="217"/>
      <c r="V137" s="147"/>
      <c r="W137" s="147"/>
      <c r="X137" s="154"/>
      <c r="Y137" s="147"/>
      <c r="Z137" s="150"/>
      <c r="AA137" s="151"/>
      <c r="AB137" s="150"/>
      <c r="AC137" s="151"/>
      <c r="AD137" s="152"/>
      <c r="AE137" s="153"/>
      <c r="AF137" s="148"/>
      <c r="AG137" s="147"/>
      <c r="AH137" s="147"/>
    </row>
    <row r="138" spans="4:34" ht="18" hidden="1" customHeight="1">
      <c r="D138" s="15">
        <v>128</v>
      </c>
      <c r="E138" s="13" t="s">
        <v>513</v>
      </c>
      <c r="F138" s="15"/>
      <c r="G138" s="118"/>
      <c r="H138" s="126"/>
      <c r="I138" s="14"/>
      <c r="J138" s="48"/>
      <c r="K138" s="118"/>
      <c r="L138" s="118"/>
      <c r="M138" s="118"/>
      <c r="N138" s="127"/>
      <c r="O138" s="16"/>
      <c r="P138" s="147"/>
      <c r="Q138" s="147"/>
      <c r="R138" s="147"/>
      <c r="S138" s="147"/>
      <c r="T138" s="147"/>
      <c r="U138" s="217"/>
      <c r="V138" s="147"/>
      <c r="W138" s="147"/>
      <c r="X138" s="154"/>
      <c r="Y138" s="147"/>
      <c r="Z138" s="150"/>
      <c r="AA138" s="151"/>
      <c r="AB138" s="150"/>
      <c r="AC138" s="151"/>
      <c r="AD138" s="152"/>
      <c r="AE138" s="153"/>
      <c r="AF138" s="148"/>
      <c r="AG138" s="147"/>
      <c r="AH138" s="147"/>
    </row>
    <row r="139" spans="4:34" ht="18" hidden="1" customHeight="1">
      <c r="D139" s="13">
        <v>129</v>
      </c>
      <c r="E139" s="13" t="s">
        <v>514</v>
      </c>
      <c r="F139" s="15"/>
      <c r="G139" s="118"/>
      <c r="H139" s="126"/>
      <c r="I139" s="14"/>
      <c r="J139" s="48"/>
      <c r="K139" s="118"/>
      <c r="L139" s="118"/>
      <c r="M139" s="118"/>
      <c r="N139" s="127"/>
      <c r="O139" s="16"/>
      <c r="P139" s="147"/>
      <c r="Q139" s="147"/>
      <c r="R139" s="147"/>
      <c r="S139" s="147"/>
      <c r="T139" s="147"/>
      <c r="U139" s="217"/>
      <c r="V139" s="147"/>
      <c r="W139" s="147"/>
      <c r="X139" s="154"/>
      <c r="Y139" s="147"/>
      <c r="Z139" s="150"/>
      <c r="AA139" s="151"/>
      <c r="AB139" s="150"/>
      <c r="AC139" s="151"/>
      <c r="AD139" s="152"/>
      <c r="AE139" s="153"/>
      <c r="AF139" s="148"/>
      <c r="AG139" s="147"/>
      <c r="AH139" s="147"/>
    </row>
    <row r="140" spans="4:34" ht="18" hidden="1" customHeight="1">
      <c r="D140" s="15">
        <v>130</v>
      </c>
      <c r="E140" s="13" t="s">
        <v>515</v>
      </c>
      <c r="F140" s="15"/>
      <c r="G140" s="118"/>
      <c r="H140" s="126"/>
      <c r="I140" s="14"/>
      <c r="J140" s="48"/>
      <c r="K140" s="118"/>
      <c r="L140" s="118"/>
      <c r="M140" s="118"/>
      <c r="N140" s="127"/>
      <c r="O140" s="16"/>
      <c r="P140" s="147"/>
      <c r="Q140" s="147"/>
      <c r="R140" s="147"/>
      <c r="S140" s="147"/>
      <c r="T140" s="147"/>
      <c r="U140" s="217"/>
      <c r="V140" s="147"/>
      <c r="W140" s="147"/>
      <c r="X140" s="154"/>
      <c r="Y140" s="147"/>
      <c r="Z140" s="150"/>
      <c r="AA140" s="151"/>
      <c r="AB140" s="150"/>
      <c r="AC140" s="151"/>
      <c r="AD140" s="152"/>
      <c r="AE140" s="153"/>
      <c r="AF140" s="148"/>
      <c r="AG140" s="147"/>
      <c r="AH140" s="147"/>
    </row>
    <row r="141" spans="4:34" ht="18" hidden="1" customHeight="1">
      <c r="D141" s="13">
        <v>131</v>
      </c>
      <c r="E141" s="13" t="s">
        <v>516</v>
      </c>
      <c r="F141" s="15"/>
      <c r="G141" s="118"/>
      <c r="H141" s="126"/>
      <c r="I141" s="14"/>
      <c r="J141" s="48"/>
      <c r="K141" s="118"/>
      <c r="L141" s="118"/>
      <c r="M141" s="118"/>
      <c r="N141" s="127"/>
      <c r="O141" s="16"/>
      <c r="P141" s="147"/>
      <c r="Q141" s="147"/>
      <c r="R141" s="147"/>
      <c r="S141" s="147"/>
      <c r="T141" s="147"/>
      <c r="U141" s="217"/>
      <c r="V141" s="147"/>
      <c r="W141" s="147"/>
      <c r="X141" s="154"/>
      <c r="Y141" s="147"/>
      <c r="Z141" s="150"/>
      <c r="AA141" s="151"/>
      <c r="AB141" s="150"/>
      <c r="AC141" s="151"/>
      <c r="AD141" s="152"/>
      <c r="AE141" s="153"/>
      <c r="AF141" s="148"/>
      <c r="AG141" s="147"/>
      <c r="AH141" s="147"/>
    </row>
    <row r="142" spans="4:34" ht="18" hidden="1" customHeight="1">
      <c r="D142" s="15">
        <v>132</v>
      </c>
      <c r="E142" s="13" t="s">
        <v>517</v>
      </c>
      <c r="F142" s="15"/>
      <c r="G142" s="118"/>
      <c r="H142" s="126"/>
      <c r="I142" s="14"/>
      <c r="J142" s="48"/>
      <c r="K142" s="118"/>
      <c r="L142" s="118"/>
      <c r="M142" s="118"/>
      <c r="N142" s="127"/>
      <c r="O142" s="16"/>
      <c r="P142" s="147"/>
      <c r="Q142" s="147"/>
      <c r="R142" s="147"/>
      <c r="S142" s="147"/>
      <c r="T142" s="147"/>
      <c r="U142" s="217"/>
      <c r="V142" s="147"/>
      <c r="W142" s="147"/>
      <c r="X142" s="154"/>
      <c r="Y142" s="147"/>
      <c r="Z142" s="150"/>
      <c r="AA142" s="151"/>
      <c r="AB142" s="150"/>
      <c r="AC142" s="151"/>
      <c r="AD142" s="152"/>
      <c r="AE142" s="153"/>
      <c r="AF142" s="148"/>
      <c r="AG142" s="147"/>
      <c r="AH142" s="147"/>
    </row>
    <row r="143" spans="4:34" ht="18" hidden="1" customHeight="1">
      <c r="D143" s="13">
        <v>133</v>
      </c>
      <c r="E143" s="13" t="s">
        <v>518</v>
      </c>
      <c r="F143" s="15"/>
      <c r="G143" s="118"/>
      <c r="H143" s="126"/>
      <c r="I143" s="14"/>
      <c r="J143" s="48"/>
      <c r="K143" s="118"/>
      <c r="L143" s="118"/>
      <c r="M143" s="118"/>
      <c r="N143" s="127"/>
      <c r="O143" s="16"/>
      <c r="P143" s="147"/>
      <c r="Q143" s="147"/>
      <c r="R143" s="147"/>
      <c r="S143" s="147"/>
      <c r="T143" s="147"/>
      <c r="U143" s="217"/>
      <c r="V143" s="147"/>
      <c r="W143" s="147"/>
      <c r="X143" s="154"/>
      <c r="Y143" s="147"/>
      <c r="Z143" s="150"/>
      <c r="AA143" s="151"/>
      <c r="AB143" s="150"/>
      <c r="AC143" s="151"/>
      <c r="AD143" s="152"/>
      <c r="AE143" s="153"/>
      <c r="AF143" s="148"/>
      <c r="AG143" s="147"/>
      <c r="AH143" s="147"/>
    </row>
    <row r="144" spans="4:34" ht="18" hidden="1" customHeight="1">
      <c r="D144" s="15">
        <v>134</v>
      </c>
      <c r="E144" s="13" t="s">
        <v>519</v>
      </c>
      <c r="F144" s="15"/>
      <c r="G144" s="118"/>
      <c r="H144" s="126"/>
      <c r="I144" s="14"/>
      <c r="J144" s="48"/>
      <c r="K144" s="118"/>
      <c r="L144" s="118"/>
      <c r="M144" s="118"/>
      <c r="N144" s="127"/>
      <c r="O144" s="16"/>
      <c r="P144" s="147"/>
      <c r="Q144" s="147"/>
      <c r="R144" s="147"/>
      <c r="S144" s="147"/>
      <c r="T144" s="147"/>
      <c r="U144" s="217"/>
      <c r="V144" s="147"/>
      <c r="W144" s="147"/>
      <c r="X144" s="154"/>
      <c r="Y144" s="147"/>
      <c r="Z144" s="150"/>
      <c r="AA144" s="151"/>
      <c r="AB144" s="150"/>
      <c r="AC144" s="151"/>
      <c r="AD144" s="152"/>
      <c r="AE144" s="153"/>
      <c r="AF144" s="148"/>
      <c r="AG144" s="147"/>
      <c r="AH144" s="147"/>
    </row>
    <row r="145" spans="4:34" ht="18" hidden="1" customHeight="1">
      <c r="D145" s="13">
        <v>135</v>
      </c>
      <c r="E145" s="13" t="s">
        <v>520</v>
      </c>
      <c r="F145" s="15"/>
      <c r="G145" s="118"/>
      <c r="H145" s="126"/>
      <c r="I145" s="14"/>
      <c r="J145" s="48"/>
      <c r="K145" s="118"/>
      <c r="L145" s="118"/>
      <c r="M145" s="118"/>
      <c r="N145" s="127"/>
      <c r="O145" s="16"/>
      <c r="P145" s="147"/>
      <c r="Q145" s="147"/>
      <c r="R145" s="147"/>
      <c r="S145" s="147"/>
      <c r="T145" s="147"/>
      <c r="U145" s="217"/>
      <c r="V145" s="147"/>
      <c r="W145" s="147"/>
      <c r="X145" s="154"/>
      <c r="Y145" s="147"/>
      <c r="Z145" s="150"/>
      <c r="AA145" s="151"/>
      <c r="AB145" s="150"/>
      <c r="AC145" s="151"/>
      <c r="AD145" s="152"/>
      <c r="AE145" s="153"/>
      <c r="AF145" s="148"/>
      <c r="AG145" s="147"/>
      <c r="AH145" s="147"/>
    </row>
    <row r="146" spans="4:34" ht="18" hidden="1" customHeight="1">
      <c r="D146" s="15">
        <v>136</v>
      </c>
      <c r="E146" s="13" t="s">
        <v>521</v>
      </c>
      <c r="F146" s="15"/>
      <c r="G146" s="118"/>
      <c r="H146" s="126"/>
      <c r="I146" s="14"/>
      <c r="J146" s="48"/>
      <c r="K146" s="118"/>
      <c r="L146" s="118"/>
      <c r="M146" s="118"/>
      <c r="N146" s="127"/>
      <c r="O146" s="16"/>
      <c r="P146" s="147"/>
      <c r="Q146" s="147"/>
      <c r="R146" s="147"/>
      <c r="S146" s="147"/>
      <c r="T146" s="147"/>
      <c r="U146" s="217"/>
      <c r="V146" s="147"/>
      <c r="W146" s="147"/>
      <c r="X146" s="154"/>
      <c r="Y146" s="147"/>
      <c r="Z146" s="150"/>
      <c r="AA146" s="151"/>
      <c r="AB146" s="150"/>
      <c r="AC146" s="151"/>
      <c r="AD146" s="152"/>
      <c r="AE146" s="153"/>
      <c r="AF146" s="148"/>
      <c r="AG146" s="147"/>
      <c r="AH146" s="147"/>
    </row>
    <row r="147" spans="4:34" ht="18" hidden="1" customHeight="1">
      <c r="D147" s="13">
        <v>137</v>
      </c>
      <c r="E147" s="13" t="s">
        <v>522</v>
      </c>
      <c r="F147" s="15"/>
      <c r="G147" s="118"/>
      <c r="H147" s="126"/>
      <c r="I147" s="14"/>
      <c r="J147" s="48"/>
      <c r="K147" s="118"/>
      <c r="L147" s="118"/>
      <c r="M147" s="118"/>
      <c r="N147" s="127"/>
      <c r="O147" s="16"/>
      <c r="P147" s="147"/>
      <c r="Q147" s="147"/>
      <c r="R147" s="147"/>
      <c r="S147" s="147"/>
      <c r="T147" s="147"/>
      <c r="U147" s="217"/>
      <c r="V147" s="147"/>
      <c r="W147" s="147"/>
      <c r="X147" s="154"/>
      <c r="Y147" s="147"/>
      <c r="Z147" s="150"/>
      <c r="AA147" s="151"/>
      <c r="AB147" s="150"/>
      <c r="AC147" s="151"/>
      <c r="AD147" s="152"/>
      <c r="AE147" s="153"/>
      <c r="AF147" s="148"/>
      <c r="AG147" s="147"/>
      <c r="AH147" s="147"/>
    </row>
    <row r="148" spans="4:34" ht="18" hidden="1" customHeight="1">
      <c r="D148" s="15">
        <v>138</v>
      </c>
      <c r="E148" s="13" t="s">
        <v>523</v>
      </c>
      <c r="F148" s="15"/>
      <c r="G148" s="118"/>
      <c r="H148" s="126"/>
      <c r="I148" s="14"/>
      <c r="J148" s="48"/>
      <c r="K148" s="118"/>
      <c r="L148" s="118"/>
      <c r="M148" s="118"/>
      <c r="N148" s="127"/>
      <c r="O148" s="16"/>
      <c r="P148" s="147"/>
      <c r="Q148" s="147"/>
      <c r="R148" s="147"/>
      <c r="S148" s="147"/>
      <c r="T148" s="147"/>
      <c r="U148" s="217"/>
      <c r="V148" s="147"/>
      <c r="W148" s="147"/>
      <c r="X148" s="154"/>
      <c r="Y148" s="147"/>
      <c r="Z148" s="150"/>
      <c r="AA148" s="151"/>
      <c r="AB148" s="150"/>
      <c r="AC148" s="151"/>
      <c r="AD148" s="152"/>
      <c r="AE148" s="153"/>
      <c r="AF148" s="148"/>
      <c r="AG148" s="147"/>
      <c r="AH148" s="147"/>
    </row>
    <row r="149" spans="4:34" ht="18" hidden="1" customHeight="1">
      <c r="D149" s="13">
        <v>139</v>
      </c>
      <c r="E149" s="13" t="s">
        <v>524</v>
      </c>
      <c r="F149" s="15"/>
      <c r="G149" s="118"/>
      <c r="H149" s="126"/>
      <c r="I149" s="14"/>
      <c r="J149" s="48"/>
      <c r="K149" s="118"/>
      <c r="L149" s="118"/>
      <c r="M149" s="118"/>
      <c r="N149" s="127"/>
      <c r="O149" s="16"/>
      <c r="P149" s="147"/>
      <c r="Q149" s="147"/>
      <c r="R149" s="147"/>
      <c r="S149" s="147"/>
      <c r="T149" s="147"/>
      <c r="U149" s="217"/>
      <c r="V149" s="147"/>
      <c r="W149" s="147"/>
      <c r="X149" s="154"/>
      <c r="Y149" s="147"/>
      <c r="Z149" s="150"/>
      <c r="AA149" s="151"/>
      <c r="AB149" s="150"/>
      <c r="AC149" s="151"/>
      <c r="AD149" s="152"/>
      <c r="AE149" s="153"/>
      <c r="AF149" s="148"/>
      <c r="AG149" s="147"/>
      <c r="AH149" s="147"/>
    </row>
    <row r="150" spans="4:34" ht="18" hidden="1" customHeight="1">
      <c r="D150" s="15">
        <v>140</v>
      </c>
      <c r="E150" s="13" t="s">
        <v>525</v>
      </c>
      <c r="F150" s="15"/>
      <c r="G150" s="118"/>
      <c r="H150" s="126"/>
      <c r="I150" s="14"/>
      <c r="J150" s="48"/>
      <c r="K150" s="118"/>
      <c r="L150" s="118"/>
      <c r="M150" s="118"/>
      <c r="N150" s="127"/>
      <c r="O150" s="16"/>
      <c r="P150" s="147"/>
      <c r="Q150" s="147"/>
      <c r="R150" s="147"/>
      <c r="S150" s="147"/>
      <c r="T150" s="147"/>
      <c r="U150" s="217"/>
      <c r="V150" s="147"/>
      <c r="W150" s="147"/>
      <c r="X150" s="154"/>
      <c r="Y150" s="147"/>
      <c r="Z150" s="150"/>
      <c r="AA150" s="151"/>
      <c r="AB150" s="150"/>
      <c r="AC150" s="151"/>
      <c r="AD150" s="152"/>
      <c r="AE150" s="153"/>
      <c r="AF150" s="148"/>
      <c r="AG150" s="147"/>
      <c r="AH150" s="147"/>
    </row>
    <row r="151" spans="4:34" ht="18" hidden="1" customHeight="1">
      <c r="D151" s="13">
        <v>141</v>
      </c>
      <c r="E151" s="13" t="s">
        <v>526</v>
      </c>
      <c r="F151" s="15"/>
      <c r="G151" s="118"/>
      <c r="H151" s="126"/>
      <c r="I151" s="14"/>
      <c r="J151" s="48"/>
      <c r="K151" s="118"/>
      <c r="L151" s="118"/>
      <c r="M151" s="118"/>
      <c r="N151" s="127"/>
      <c r="O151" s="16"/>
      <c r="P151" s="147"/>
      <c r="Q151" s="147"/>
      <c r="R151" s="147"/>
      <c r="S151" s="147"/>
      <c r="T151" s="147"/>
      <c r="U151" s="217"/>
      <c r="V151" s="147"/>
      <c r="W151" s="147"/>
      <c r="X151" s="154"/>
      <c r="Y151" s="147"/>
      <c r="Z151" s="150"/>
      <c r="AA151" s="151"/>
      <c r="AB151" s="150"/>
      <c r="AC151" s="151"/>
      <c r="AD151" s="152"/>
      <c r="AE151" s="153"/>
      <c r="AF151" s="148"/>
      <c r="AG151" s="147"/>
      <c r="AH151" s="147"/>
    </row>
    <row r="152" spans="4:34" ht="18" hidden="1" customHeight="1">
      <c r="D152" s="15">
        <v>142</v>
      </c>
      <c r="E152" s="13" t="s">
        <v>527</v>
      </c>
      <c r="F152" s="15"/>
      <c r="G152" s="118"/>
      <c r="H152" s="126"/>
      <c r="I152" s="14"/>
      <c r="J152" s="48"/>
      <c r="K152" s="118"/>
      <c r="L152" s="118"/>
      <c r="M152" s="118"/>
      <c r="N152" s="127"/>
      <c r="O152" s="16"/>
      <c r="P152" s="147"/>
      <c r="Q152" s="147"/>
      <c r="R152" s="147"/>
      <c r="S152" s="147"/>
      <c r="T152" s="147"/>
      <c r="U152" s="217"/>
      <c r="V152" s="147"/>
      <c r="W152" s="147"/>
      <c r="X152" s="154"/>
      <c r="Y152" s="147"/>
      <c r="Z152" s="150"/>
      <c r="AA152" s="151"/>
      <c r="AB152" s="150"/>
      <c r="AC152" s="151"/>
      <c r="AD152" s="152"/>
      <c r="AE152" s="153"/>
      <c r="AF152" s="148"/>
      <c r="AG152" s="147"/>
      <c r="AH152" s="147"/>
    </row>
    <row r="153" spans="4:34" ht="18" hidden="1" customHeight="1">
      <c r="D153" s="13">
        <v>143</v>
      </c>
      <c r="E153" s="13" t="s">
        <v>528</v>
      </c>
      <c r="F153" s="15"/>
      <c r="G153" s="118"/>
      <c r="H153" s="126"/>
      <c r="I153" s="14"/>
      <c r="J153" s="48"/>
      <c r="K153" s="118"/>
      <c r="L153" s="118"/>
      <c r="M153" s="118"/>
      <c r="N153" s="127"/>
      <c r="O153" s="16"/>
      <c r="P153" s="147"/>
      <c r="Q153" s="224"/>
      <c r="R153" s="147"/>
      <c r="S153" s="147"/>
      <c r="T153" s="147"/>
      <c r="U153" s="217"/>
      <c r="V153" s="147"/>
      <c r="W153" s="147"/>
      <c r="X153" s="154"/>
      <c r="Y153" s="147"/>
      <c r="Z153" s="150"/>
      <c r="AA153" s="151"/>
      <c r="AB153" s="150"/>
      <c r="AC153" s="151"/>
      <c r="AD153" s="152"/>
      <c r="AE153" s="153"/>
      <c r="AF153" s="148"/>
      <c r="AG153" s="147"/>
      <c r="AH153" s="147"/>
    </row>
    <row r="154" spans="4:34" ht="18" hidden="1" customHeight="1">
      <c r="D154" s="15">
        <v>144</v>
      </c>
      <c r="E154" s="13" t="s">
        <v>529</v>
      </c>
      <c r="F154" s="15"/>
      <c r="G154" s="118"/>
      <c r="H154" s="126"/>
      <c r="I154" s="14"/>
      <c r="J154" s="48"/>
      <c r="K154" s="118"/>
      <c r="L154" s="118"/>
      <c r="M154" s="118"/>
      <c r="N154" s="127"/>
      <c r="O154" s="16"/>
      <c r="P154" s="147"/>
      <c r="Q154" s="147"/>
      <c r="R154" s="147"/>
      <c r="S154" s="147"/>
      <c r="T154" s="147"/>
      <c r="U154" s="217"/>
      <c r="V154" s="147"/>
      <c r="W154" s="147"/>
      <c r="X154" s="154"/>
      <c r="Y154" s="147"/>
      <c r="Z154" s="150"/>
      <c r="AA154" s="151"/>
      <c r="AB154" s="150"/>
      <c r="AC154" s="151"/>
      <c r="AD154" s="152"/>
      <c r="AE154" s="153"/>
      <c r="AF154" s="148"/>
      <c r="AG154" s="147"/>
      <c r="AH154" s="147"/>
    </row>
    <row r="155" spans="4:34" ht="18" hidden="1" customHeight="1">
      <c r="D155" s="13">
        <v>145</v>
      </c>
      <c r="E155" s="13" t="s">
        <v>530</v>
      </c>
      <c r="F155" s="15"/>
      <c r="G155" s="118"/>
      <c r="H155" s="126"/>
      <c r="I155" s="14"/>
      <c r="J155" s="48"/>
      <c r="K155" s="118"/>
      <c r="L155" s="118"/>
      <c r="M155" s="118"/>
      <c r="N155" s="127"/>
      <c r="O155" s="16"/>
      <c r="P155" s="147"/>
      <c r="Q155" s="147"/>
      <c r="R155" s="147"/>
      <c r="S155" s="147"/>
      <c r="T155" s="147"/>
      <c r="U155" s="217"/>
      <c r="V155" s="147"/>
      <c r="W155" s="147"/>
      <c r="X155" s="154"/>
      <c r="Y155" s="147"/>
      <c r="Z155" s="150"/>
      <c r="AA155" s="151"/>
      <c r="AB155" s="150"/>
      <c r="AC155" s="151"/>
      <c r="AD155" s="152"/>
      <c r="AE155" s="153"/>
      <c r="AF155" s="148"/>
      <c r="AG155" s="147"/>
      <c r="AH155" s="147"/>
    </row>
    <row r="156" spans="4:34" ht="18" hidden="1" customHeight="1">
      <c r="D156" s="15">
        <v>146</v>
      </c>
      <c r="E156" s="13" t="s">
        <v>531</v>
      </c>
      <c r="F156" s="15"/>
      <c r="G156" s="118"/>
      <c r="H156" s="126"/>
      <c r="I156" s="14"/>
      <c r="J156" s="48"/>
      <c r="K156" s="118"/>
      <c r="L156" s="118"/>
      <c r="M156" s="118"/>
      <c r="N156" s="127"/>
      <c r="O156" s="16"/>
      <c r="P156" s="147"/>
      <c r="Q156" s="147"/>
      <c r="R156" s="147"/>
      <c r="S156" s="147"/>
      <c r="T156" s="147"/>
      <c r="U156" s="217"/>
      <c r="V156" s="147"/>
      <c r="W156" s="147"/>
      <c r="X156" s="154"/>
      <c r="Y156" s="147"/>
      <c r="Z156" s="150"/>
      <c r="AA156" s="151"/>
      <c r="AB156" s="150"/>
      <c r="AC156" s="151"/>
      <c r="AD156" s="152"/>
      <c r="AE156" s="153"/>
      <c r="AF156" s="148"/>
      <c r="AG156" s="147"/>
      <c r="AH156" s="147"/>
    </row>
    <row r="157" spans="4:34" ht="18" hidden="1" customHeight="1">
      <c r="D157" s="13">
        <v>147</v>
      </c>
      <c r="E157" s="13" t="s">
        <v>532</v>
      </c>
      <c r="F157" s="15"/>
      <c r="G157" s="118"/>
      <c r="H157" s="126"/>
      <c r="I157" s="14"/>
      <c r="J157" s="48"/>
      <c r="K157" s="118"/>
      <c r="L157" s="118"/>
      <c r="M157" s="118"/>
      <c r="N157" s="127"/>
      <c r="O157" s="16"/>
      <c r="P157" s="147"/>
      <c r="Q157" s="147"/>
      <c r="R157" s="147"/>
      <c r="S157" s="147"/>
      <c r="T157" s="147"/>
      <c r="U157" s="217"/>
      <c r="V157" s="147"/>
      <c r="W157" s="147"/>
      <c r="X157" s="154"/>
      <c r="Y157" s="147"/>
      <c r="Z157" s="150"/>
      <c r="AA157" s="151"/>
      <c r="AB157" s="150"/>
      <c r="AC157" s="151"/>
      <c r="AD157" s="152"/>
      <c r="AE157" s="153"/>
      <c r="AF157" s="148"/>
      <c r="AG157" s="147"/>
      <c r="AH157" s="147"/>
    </row>
    <row r="158" spans="4:34" ht="18" hidden="1" customHeight="1">
      <c r="D158" s="15">
        <v>148</v>
      </c>
      <c r="E158" s="13" t="s">
        <v>533</v>
      </c>
      <c r="F158" s="15"/>
      <c r="G158" s="118"/>
      <c r="H158" s="126"/>
      <c r="I158" s="14"/>
      <c r="J158" s="48"/>
      <c r="K158" s="118"/>
      <c r="L158" s="118"/>
      <c r="M158" s="118"/>
      <c r="N158" s="127"/>
      <c r="O158" s="127"/>
      <c r="P158" s="147"/>
      <c r="Q158" s="147"/>
      <c r="R158" s="147"/>
      <c r="S158" s="147"/>
      <c r="T158" s="147"/>
      <c r="U158" s="217"/>
      <c r="V158" s="147"/>
      <c r="W158" s="147"/>
      <c r="X158" s="154"/>
      <c r="Y158" s="147"/>
      <c r="Z158" s="150"/>
      <c r="AA158" s="151"/>
      <c r="AB158" s="150"/>
      <c r="AC158" s="151"/>
      <c r="AD158" s="152"/>
      <c r="AE158" s="153"/>
      <c r="AF158" s="148"/>
      <c r="AG158" s="147"/>
      <c r="AH158" s="147"/>
    </row>
    <row r="159" spans="4:34" ht="18" hidden="1" customHeight="1">
      <c r="D159" s="13">
        <v>149</v>
      </c>
      <c r="E159" s="13" t="s">
        <v>534</v>
      </c>
      <c r="F159" s="15"/>
      <c r="G159" s="118"/>
      <c r="H159" s="126"/>
      <c r="I159" s="14"/>
      <c r="J159" s="48"/>
      <c r="K159" s="118"/>
      <c r="L159" s="118"/>
      <c r="M159" s="118"/>
      <c r="N159" s="127"/>
      <c r="O159" s="16"/>
      <c r="P159" s="147"/>
      <c r="Q159" s="147"/>
      <c r="R159" s="147"/>
      <c r="S159" s="147"/>
      <c r="T159" s="147"/>
      <c r="U159" s="217"/>
      <c r="V159" s="147"/>
      <c r="W159" s="147"/>
      <c r="X159" s="154"/>
      <c r="Y159" s="147"/>
      <c r="Z159" s="150"/>
      <c r="AA159" s="151"/>
      <c r="AB159" s="150"/>
      <c r="AC159" s="151"/>
      <c r="AD159" s="152"/>
      <c r="AE159" s="153"/>
      <c r="AF159" s="148"/>
      <c r="AG159" s="147"/>
      <c r="AH159" s="147"/>
    </row>
    <row r="160" spans="4:34" ht="18" hidden="1" customHeight="1">
      <c r="D160" s="15">
        <v>150</v>
      </c>
      <c r="E160" s="13" t="s">
        <v>535</v>
      </c>
      <c r="F160" s="15"/>
      <c r="G160" s="118"/>
      <c r="H160" s="126"/>
      <c r="I160" s="14"/>
      <c r="J160" s="48"/>
      <c r="K160" s="118"/>
      <c r="L160" s="118"/>
      <c r="M160" s="118"/>
      <c r="N160" s="127"/>
      <c r="O160" s="16"/>
      <c r="P160" s="147"/>
      <c r="Q160" s="147"/>
      <c r="R160" s="147"/>
      <c r="S160" s="147"/>
      <c r="T160" s="147"/>
      <c r="U160" s="217"/>
      <c r="V160" s="147"/>
      <c r="W160" s="147"/>
      <c r="X160" s="154"/>
      <c r="Y160" s="147"/>
      <c r="Z160" s="150"/>
      <c r="AA160" s="151"/>
      <c r="AB160" s="150"/>
      <c r="AC160" s="151"/>
      <c r="AD160" s="152"/>
      <c r="AE160" s="153"/>
      <c r="AF160" s="148"/>
      <c r="AG160" s="147"/>
      <c r="AH160" s="147"/>
    </row>
    <row r="161" spans="4:34" ht="18" hidden="1" customHeight="1">
      <c r="D161" s="13">
        <v>151</v>
      </c>
      <c r="E161" s="13" t="s">
        <v>536</v>
      </c>
      <c r="F161" s="15"/>
      <c r="G161" s="118"/>
      <c r="H161" s="126"/>
      <c r="I161" s="14"/>
      <c r="J161" s="48"/>
      <c r="K161" s="118"/>
      <c r="L161" s="118"/>
      <c r="M161" s="118"/>
      <c r="N161" s="127"/>
      <c r="O161" s="16"/>
      <c r="P161" s="147"/>
      <c r="Q161" s="147"/>
      <c r="R161" s="147"/>
      <c r="S161" s="147"/>
      <c r="T161" s="147"/>
      <c r="U161" s="217"/>
      <c r="V161" s="147"/>
      <c r="W161" s="147"/>
      <c r="X161" s="154"/>
      <c r="Y161" s="147"/>
      <c r="Z161" s="150"/>
      <c r="AA161" s="151"/>
      <c r="AB161" s="150"/>
      <c r="AC161" s="151"/>
      <c r="AD161" s="152"/>
      <c r="AE161" s="153"/>
      <c r="AF161" s="148"/>
      <c r="AG161" s="147"/>
      <c r="AH161" s="147"/>
    </row>
    <row r="162" spans="4:34" ht="18" hidden="1" customHeight="1">
      <c r="D162" s="15">
        <v>152</v>
      </c>
      <c r="E162" s="13" t="s">
        <v>537</v>
      </c>
      <c r="F162" s="15"/>
      <c r="G162" s="118"/>
      <c r="H162" s="126"/>
      <c r="I162" s="14"/>
      <c r="J162" s="48"/>
      <c r="K162" s="118"/>
      <c r="L162" s="118"/>
      <c r="M162" s="118"/>
      <c r="N162" s="127"/>
      <c r="O162" s="16"/>
      <c r="P162" s="147"/>
      <c r="Q162" s="147"/>
      <c r="R162" s="147"/>
      <c r="S162" s="147"/>
      <c r="T162" s="147"/>
      <c r="U162" s="217"/>
      <c r="V162" s="147"/>
      <c r="W162" s="147"/>
      <c r="X162" s="154"/>
      <c r="Y162" s="147"/>
      <c r="Z162" s="150"/>
      <c r="AA162" s="151"/>
      <c r="AB162" s="150"/>
      <c r="AC162" s="151"/>
      <c r="AD162" s="152"/>
      <c r="AE162" s="153"/>
      <c r="AF162" s="148"/>
      <c r="AG162" s="147"/>
      <c r="AH162" s="147"/>
    </row>
    <row r="163" spans="4:34" ht="18" hidden="1" customHeight="1">
      <c r="D163" s="13">
        <v>153</v>
      </c>
      <c r="E163" s="13" t="s">
        <v>538</v>
      </c>
      <c r="F163" s="15"/>
      <c r="G163" s="118"/>
      <c r="H163" s="126"/>
      <c r="I163" s="14"/>
      <c r="J163" s="48"/>
      <c r="K163" s="118"/>
      <c r="L163" s="118"/>
      <c r="M163" s="118"/>
      <c r="N163" s="127"/>
      <c r="O163" s="16"/>
      <c r="P163" s="147"/>
      <c r="Q163" s="147"/>
      <c r="R163" s="147"/>
      <c r="S163" s="147"/>
      <c r="T163" s="147"/>
      <c r="U163" s="217"/>
      <c r="V163" s="147"/>
      <c r="W163" s="147"/>
      <c r="X163" s="154"/>
      <c r="Y163" s="147"/>
      <c r="Z163" s="150"/>
      <c r="AA163" s="151"/>
      <c r="AB163" s="150"/>
      <c r="AC163" s="151"/>
      <c r="AD163" s="152"/>
      <c r="AE163" s="153"/>
      <c r="AF163" s="148"/>
      <c r="AG163" s="147"/>
      <c r="AH163" s="147"/>
    </row>
    <row r="164" spans="4:34" ht="18" hidden="1" customHeight="1">
      <c r="D164" s="15">
        <v>154</v>
      </c>
      <c r="E164" s="13" t="s">
        <v>539</v>
      </c>
      <c r="F164" s="15"/>
      <c r="G164" s="118"/>
      <c r="H164" s="126"/>
      <c r="I164" s="14"/>
      <c r="J164" s="48"/>
      <c r="K164" s="118"/>
      <c r="L164" s="118"/>
      <c r="M164" s="118"/>
      <c r="N164" s="127"/>
      <c r="O164" s="221"/>
      <c r="P164" s="147"/>
      <c r="Q164" s="147"/>
      <c r="R164" s="147"/>
      <c r="S164" s="147"/>
      <c r="T164" s="147"/>
      <c r="U164" s="217"/>
      <c r="V164" s="147"/>
      <c r="W164" s="147"/>
      <c r="X164" s="154"/>
      <c r="Y164" s="147"/>
      <c r="Z164" s="150"/>
      <c r="AA164" s="151"/>
      <c r="AB164" s="150"/>
      <c r="AC164" s="151"/>
      <c r="AD164" s="152"/>
      <c r="AE164" s="153"/>
      <c r="AF164" s="148"/>
      <c r="AG164" s="147"/>
      <c r="AH164" s="147"/>
    </row>
    <row r="165" spans="4:34" ht="18" hidden="1" customHeight="1">
      <c r="D165" s="13">
        <v>155</v>
      </c>
      <c r="E165" s="13" t="s">
        <v>540</v>
      </c>
      <c r="F165" s="15"/>
      <c r="G165" s="118"/>
      <c r="H165" s="126"/>
      <c r="I165" s="14"/>
      <c r="J165" s="48"/>
      <c r="K165" s="118"/>
      <c r="L165" s="118"/>
      <c r="M165" s="118"/>
      <c r="N165" s="127"/>
      <c r="O165" s="16"/>
      <c r="P165" s="147"/>
      <c r="Q165" s="147"/>
      <c r="R165" s="147"/>
      <c r="S165" s="147"/>
      <c r="T165" s="147"/>
      <c r="U165" s="217"/>
      <c r="V165" s="147"/>
      <c r="W165" s="147"/>
      <c r="X165" s="154"/>
      <c r="Y165" s="147"/>
      <c r="Z165" s="150"/>
      <c r="AA165" s="151"/>
      <c r="AB165" s="150"/>
      <c r="AC165" s="151"/>
      <c r="AD165" s="152"/>
      <c r="AE165" s="153"/>
      <c r="AF165" s="148"/>
      <c r="AG165" s="147"/>
      <c r="AH165" s="147"/>
    </row>
    <row r="166" spans="4:34" ht="18" hidden="1" customHeight="1">
      <c r="D166" s="15">
        <v>156</v>
      </c>
      <c r="E166" s="13" t="s">
        <v>541</v>
      </c>
      <c r="F166" s="15"/>
      <c r="G166" s="118"/>
      <c r="H166" s="126"/>
      <c r="I166" s="14"/>
      <c r="J166" s="48"/>
      <c r="K166" s="118"/>
      <c r="L166" s="118"/>
      <c r="M166" s="118"/>
      <c r="N166" s="127"/>
      <c r="O166" s="16"/>
      <c r="P166" s="147"/>
      <c r="Q166" s="147"/>
      <c r="R166" s="147"/>
      <c r="S166" s="147"/>
      <c r="T166" s="147"/>
      <c r="U166" s="217"/>
      <c r="V166" s="147"/>
      <c r="W166" s="147"/>
      <c r="X166" s="154"/>
      <c r="Y166" s="147"/>
      <c r="Z166" s="150"/>
      <c r="AA166" s="151"/>
      <c r="AB166" s="150"/>
      <c r="AC166" s="151"/>
      <c r="AD166" s="152"/>
      <c r="AE166" s="153"/>
      <c r="AF166" s="148"/>
      <c r="AG166" s="147"/>
      <c r="AH166" s="147"/>
    </row>
    <row r="167" spans="4:34" ht="18" hidden="1" customHeight="1">
      <c r="D167" s="13">
        <v>157</v>
      </c>
      <c r="E167" s="13" t="s">
        <v>542</v>
      </c>
      <c r="F167" s="15"/>
      <c r="G167" s="118"/>
      <c r="H167" s="126"/>
      <c r="I167" s="14"/>
      <c r="J167" s="48"/>
      <c r="K167" s="118"/>
      <c r="L167" s="118"/>
      <c r="M167" s="118"/>
      <c r="N167" s="127"/>
      <c r="O167" s="16"/>
      <c r="P167" s="147"/>
      <c r="Q167" s="222"/>
      <c r="R167" s="147"/>
      <c r="S167" s="147"/>
      <c r="T167" s="147"/>
      <c r="U167" s="217"/>
      <c r="V167" s="147"/>
      <c r="W167" s="147"/>
      <c r="X167" s="154"/>
      <c r="Y167" s="147"/>
      <c r="Z167" s="150"/>
      <c r="AA167" s="151"/>
      <c r="AB167" s="150"/>
      <c r="AC167" s="151"/>
      <c r="AD167" s="152"/>
      <c r="AE167" s="153"/>
      <c r="AF167" s="148"/>
      <c r="AG167" s="147"/>
      <c r="AH167" s="147"/>
    </row>
    <row r="168" spans="4:34" ht="18" hidden="1" customHeight="1">
      <c r="D168" s="15">
        <v>158</v>
      </c>
      <c r="E168" s="13" t="s">
        <v>543</v>
      </c>
      <c r="F168" s="15"/>
      <c r="G168" s="118"/>
      <c r="H168" s="126"/>
      <c r="I168" s="14"/>
      <c r="J168" s="48"/>
      <c r="K168" s="118"/>
      <c r="L168" s="118"/>
      <c r="M168" s="118"/>
      <c r="N168" s="127"/>
      <c r="O168" s="16"/>
      <c r="P168" s="147"/>
      <c r="Q168" s="222"/>
      <c r="R168" s="147"/>
      <c r="S168" s="147"/>
      <c r="T168" s="147"/>
      <c r="U168" s="217"/>
      <c r="V168" s="147"/>
      <c r="W168" s="147"/>
      <c r="X168" s="154"/>
      <c r="Y168" s="147"/>
      <c r="Z168" s="150"/>
      <c r="AA168" s="151"/>
      <c r="AB168" s="150"/>
      <c r="AC168" s="151"/>
      <c r="AD168" s="152"/>
      <c r="AE168" s="153"/>
      <c r="AF168" s="148"/>
      <c r="AG168" s="147"/>
      <c r="AH168" s="147"/>
    </row>
    <row r="169" spans="4:34" ht="18" hidden="1" customHeight="1">
      <c r="D169" s="13">
        <v>159</v>
      </c>
      <c r="E169" s="13" t="s">
        <v>544</v>
      </c>
      <c r="F169" s="15"/>
      <c r="G169" s="118"/>
      <c r="H169" s="126"/>
      <c r="I169" s="14"/>
      <c r="J169" s="48"/>
      <c r="K169" s="118"/>
      <c r="L169" s="118"/>
      <c r="M169" s="118"/>
      <c r="N169" s="127"/>
      <c r="O169" s="16"/>
      <c r="P169" s="147"/>
      <c r="Q169" s="147"/>
      <c r="R169" s="147"/>
      <c r="S169" s="147"/>
      <c r="T169" s="147"/>
      <c r="U169" s="217"/>
      <c r="V169" s="147"/>
      <c r="W169" s="147"/>
      <c r="X169" s="154"/>
      <c r="Y169" s="147"/>
      <c r="Z169" s="150"/>
      <c r="AA169" s="151"/>
      <c r="AB169" s="150"/>
      <c r="AC169" s="151"/>
      <c r="AD169" s="152"/>
      <c r="AE169" s="153"/>
      <c r="AF169" s="148"/>
      <c r="AG169" s="147"/>
      <c r="AH169" s="147"/>
    </row>
    <row r="170" spans="4:34" ht="18" hidden="1" customHeight="1">
      <c r="D170" s="15">
        <v>160</v>
      </c>
      <c r="E170" s="13" t="s">
        <v>545</v>
      </c>
      <c r="F170" s="15"/>
      <c r="G170" s="118"/>
      <c r="H170" s="126"/>
      <c r="I170" s="14"/>
      <c r="J170" s="48"/>
      <c r="K170" s="118"/>
      <c r="L170" s="118"/>
      <c r="M170" s="118"/>
      <c r="N170" s="127"/>
      <c r="O170" s="16"/>
      <c r="P170" s="147"/>
      <c r="Q170" s="147"/>
      <c r="R170" s="147"/>
      <c r="S170" s="147"/>
      <c r="T170" s="147"/>
      <c r="U170" s="217"/>
      <c r="V170" s="147"/>
      <c r="W170" s="147"/>
      <c r="X170" s="154"/>
      <c r="Y170" s="147"/>
      <c r="Z170" s="150"/>
      <c r="AA170" s="151"/>
      <c r="AB170" s="150"/>
      <c r="AC170" s="151"/>
      <c r="AD170" s="152"/>
      <c r="AE170" s="153"/>
      <c r="AF170" s="148"/>
      <c r="AG170" s="147"/>
      <c r="AH170" s="147"/>
    </row>
    <row r="171" spans="4:34" ht="18" hidden="1" customHeight="1">
      <c r="D171" s="13">
        <v>161</v>
      </c>
      <c r="E171" s="13" t="s">
        <v>546</v>
      </c>
      <c r="F171" s="15"/>
      <c r="G171" s="118"/>
      <c r="H171" s="126"/>
      <c r="I171" s="14"/>
      <c r="J171" s="48"/>
      <c r="K171" s="118"/>
      <c r="L171" s="118"/>
      <c r="M171" s="118"/>
      <c r="N171" s="127"/>
      <c r="O171" s="16"/>
      <c r="P171" s="147"/>
      <c r="Q171" s="147"/>
      <c r="R171" s="147"/>
      <c r="S171" s="147"/>
      <c r="T171" s="147"/>
      <c r="U171" s="217"/>
      <c r="V171" s="147"/>
      <c r="W171" s="147"/>
      <c r="X171" s="154"/>
      <c r="Y171" s="147"/>
      <c r="Z171" s="150"/>
      <c r="AA171" s="151"/>
      <c r="AB171" s="150"/>
      <c r="AC171" s="151"/>
      <c r="AD171" s="152"/>
      <c r="AE171" s="153"/>
      <c r="AF171" s="148"/>
      <c r="AG171" s="147"/>
      <c r="AH171" s="147"/>
    </row>
    <row r="172" spans="4:34" ht="18" hidden="1" customHeight="1">
      <c r="D172" s="15">
        <v>162</v>
      </c>
      <c r="E172" s="13" t="s">
        <v>547</v>
      </c>
      <c r="F172" s="15"/>
      <c r="G172" s="118"/>
      <c r="H172" s="126"/>
      <c r="I172" s="14"/>
      <c r="J172" s="48"/>
      <c r="K172" s="118"/>
      <c r="L172" s="118"/>
      <c r="M172" s="118"/>
      <c r="N172" s="127"/>
      <c r="O172" s="16"/>
      <c r="P172" s="147"/>
      <c r="Q172" s="224"/>
      <c r="R172" s="147"/>
      <c r="S172" s="147"/>
      <c r="T172" s="147"/>
      <c r="U172" s="217"/>
      <c r="V172" s="147"/>
      <c r="W172" s="147"/>
      <c r="X172" s="154"/>
      <c r="Y172" s="147"/>
      <c r="Z172" s="150"/>
      <c r="AA172" s="151"/>
      <c r="AB172" s="150"/>
      <c r="AC172" s="151"/>
      <c r="AD172" s="152"/>
      <c r="AE172" s="153"/>
      <c r="AF172" s="148"/>
      <c r="AG172" s="147"/>
      <c r="AH172" s="147"/>
    </row>
    <row r="173" spans="4:34" ht="18" hidden="1" customHeight="1">
      <c r="D173" s="13">
        <v>163</v>
      </c>
      <c r="E173" s="13" t="s">
        <v>548</v>
      </c>
      <c r="F173" s="15"/>
      <c r="G173" s="118"/>
      <c r="H173" s="126"/>
      <c r="I173" s="14"/>
      <c r="J173" s="48"/>
      <c r="K173" s="118"/>
      <c r="L173" s="118"/>
      <c r="M173" s="118"/>
      <c r="N173" s="127"/>
      <c r="O173" s="16"/>
      <c r="P173" s="147"/>
      <c r="Q173" s="147"/>
      <c r="R173" s="147"/>
      <c r="S173" s="147"/>
      <c r="T173" s="147"/>
      <c r="U173" s="217"/>
      <c r="V173" s="147"/>
      <c r="W173" s="147"/>
      <c r="X173" s="154"/>
      <c r="Y173" s="147"/>
      <c r="Z173" s="150"/>
      <c r="AA173" s="151"/>
      <c r="AB173" s="150"/>
      <c r="AC173" s="151"/>
      <c r="AD173" s="152"/>
      <c r="AE173" s="153"/>
      <c r="AF173" s="148"/>
      <c r="AG173" s="147"/>
      <c r="AH173" s="147"/>
    </row>
    <row r="174" spans="4:34" ht="18" hidden="1" customHeight="1">
      <c r="D174" s="15">
        <v>164</v>
      </c>
      <c r="E174" s="13" t="s">
        <v>549</v>
      </c>
      <c r="F174" s="15"/>
      <c r="G174" s="118"/>
      <c r="H174" s="126"/>
      <c r="I174" s="14"/>
      <c r="J174" s="48"/>
      <c r="K174" s="118"/>
      <c r="L174" s="118"/>
      <c r="M174" s="118"/>
      <c r="N174" s="127"/>
      <c r="O174" s="16"/>
      <c r="P174" s="147"/>
      <c r="Q174" s="147"/>
      <c r="R174" s="147"/>
      <c r="S174" s="147"/>
      <c r="T174" s="147"/>
      <c r="U174" s="217"/>
      <c r="V174" s="147"/>
      <c r="W174" s="147"/>
      <c r="X174" s="154"/>
      <c r="Y174" s="147"/>
      <c r="Z174" s="150"/>
      <c r="AA174" s="151"/>
      <c r="AB174" s="150"/>
      <c r="AC174" s="151"/>
      <c r="AD174" s="152"/>
      <c r="AE174" s="153"/>
      <c r="AF174" s="148"/>
      <c r="AG174" s="147"/>
      <c r="AH174" s="147"/>
    </row>
    <row r="175" spans="4:34" ht="18" hidden="1" customHeight="1">
      <c r="D175" s="13">
        <v>165</v>
      </c>
      <c r="E175" s="13" t="s">
        <v>550</v>
      </c>
      <c r="F175" s="15"/>
      <c r="G175" s="118"/>
      <c r="H175" s="126"/>
      <c r="I175" s="14"/>
      <c r="J175" s="48"/>
      <c r="K175" s="118"/>
      <c r="L175" s="118"/>
      <c r="M175" s="118"/>
      <c r="N175" s="127"/>
      <c r="O175" s="16"/>
      <c r="P175" s="147"/>
      <c r="Q175" s="224"/>
      <c r="R175" s="147"/>
      <c r="S175" s="147"/>
      <c r="T175" s="147"/>
      <c r="U175" s="217"/>
      <c r="V175" s="147"/>
      <c r="W175" s="147"/>
      <c r="X175" s="154"/>
      <c r="Y175" s="147"/>
      <c r="Z175" s="150"/>
      <c r="AA175" s="151"/>
      <c r="AB175" s="150"/>
      <c r="AC175" s="151"/>
      <c r="AD175" s="152"/>
      <c r="AE175" s="153"/>
      <c r="AF175" s="148"/>
      <c r="AG175" s="147"/>
      <c r="AH175" s="147"/>
    </row>
    <row r="176" spans="4:34" ht="18" hidden="1" customHeight="1">
      <c r="D176" s="15">
        <v>166</v>
      </c>
      <c r="E176" s="13" t="s">
        <v>551</v>
      </c>
      <c r="F176" s="15"/>
      <c r="G176" s="118"/>
      <c r="H176" s="126"/>
      <c r="I176" s="14"/>
      <c r="J176" s="48"/>
      <c r="K176" s="118"/>
      <c r="L176" s="118"/>
      <c r="M176" s="118"/>
      <c r="N176" s="127"/>
      <c r="O176" s="16"/>
      <c r="P176" s="147"/>
      <c r="Q176" s="147"/>
      <c r="R176" s="147"/>
      <c r="S176" s="147"/>
      <c r="T176" s="147"/>
      <c r="U176" s="217"/>
      <c r="V176" s="147"/>
      <c r="W176" s="147"/>
      <c r="X176" s="154"/>
      <c r="Y176" s="147"/>
      <c r="Z176" s="150"/>
      <c r="AA176" s="151"/>
      <c r="AB176" s="150"/>
      <c r="AC176" s="151"/>
      <c r="AD176" s="152"/>
      <c r="AE176" s="153"/>
      <c r="AF176" s="148"/>
      <c r="AG176" s="147"/>
      <c r="AH176" s="147"/>
    </row>
    <row r="177" spans="4:34" ht="18" hidden="1" customHeight="1">
      <c r="D177" s="13">
        <v>167</v>
      </c>
      <c r="E177" s="13" t="s">
        <v>552</v>
      </c>
      <c r="F177" s="15"/>
      <c r="G177" s="118"/>
      <c r="H177" s="126"/>
      <c r="I177" s="14"/>
      <c r="J177" s="48"/>
      <c r="K177" s="118"/>
      <c r="L177" s="118"/>
      <c r="M177" s="118"/>
      <c r="N177" s="127"/>
      <c r="O177" s="16"/>
      <c r="P177" s="147"/>
      <c r="Q177" s="147"/>
      <c r="R177" s="147"/>
      <c r="S177" s="147"/>
      <c r="T177" s="147"/>
      <c r="U177" s="217"/>
      <c r="V177" s="147"/>
      <c r="W177" s="147"/>
      <c r="X177" s="154"/>
      <c r="Y177" s="147"/>
      <c r="Z177" s="150"/>
      <c r="AA177" s="151"/>
      <c r="AB177" s="150"/>
      <c r="AC177" s="151"/>
      <c r="AD177" s="152"/>
      <c r="AE177" s="153"/>
      <c r="AF177" s="148"/>
      <c r="AG177" s="147"/>
      <c r="AH177" s="147"/>
    </row>
    <row r="178" spans="4:34" ht="18" hidden="1" customHeight="1">
      <c r="D178" s="15">
        <v>168</v>
      </c>
      <c r="E178" s="13" t="s">
        <v>553</v>
      </c>
      <c r="F178" s="15"/>
      <c r="G178" s="118"/>
      <c r="H178" s="126"/>
      <c r="I178" s="14"/>
      <c r="J178" s="48"/>
      <c r="K178" s="118"/>
      <c r="L178" s="118"/>
      <c r="M178" s="118"/>
      <c r="N178" s="127"/>
      <c r="O178" s="16"/>
      <c r="P178" s="147"/>
      <c r="Q178" s="147"/>
      <c r="R178" s="147"/>
      <c r="S178" s="147"/>
      <c r="T178" s="147"/>
      <c r="U178" s="217"/>
      <c r="V178" s="147"/>
      <c r="W178" s="147"/>
      <c r="X178" s="154"/>
      <c r="Y178" s="147"/>
      <c r="Z178" s="150"/>
      <c r="AA178" s="151"/>
      <c r="AB178" s="150"/>
      <c r="AC178" s="151"/>
      <c r="AD178" s="152"/>
      <c r="AE178" s="153"/>
      <c r="AF178" s="148"/>
      <c r="AG178" s="147"/>
      <c r="AH178" s="147"/>
    </row>
    <row r="179" spans="4:34" ht="18" hidden="1" customHeight="1">
      <c r="D179" s="13">
        <v>169</v>
      </c>
      <c r="E179" s="13" t="s">
        <v>554</v>
      </c>
      <c r="F179" s="15"/>
      <c r="G179" s="118"/>
      <c r="H179" s="126"/>
      <c r="I179" s="14"/>
      <c r="J179" s="48"/>
      <c r="K179" s="118"/>
      <c r="L179" s="118"/>
      <c r="M179" s="118"/>
      <c r="N179" s="127"/>
      <c r="O179" s="16"/>
      <c r="P179" s="147"/>
      <c r="Q179" s="147"/>
      <c r="R179" s="147"/>
      <c r="S179" s="147"/>
      <c r="T179" s="147"/>
      <c r="U179" s="217"/>
      <c r="V179" s="147"/>
      <c r="W179" s="147"/>
      <c r="X179" s="154"/>
      <c r="Y179" s="147"/>
      <c r="Z179" s="150"/>
      <c r="AA179" s="151"/>
      <c r="AB179" s="150"/>
      <c r="AC179" s="151"/>
      <c r="AD179" s="152"/>
      <c r="AE179" s="153"/>
      <c r="AF179" s="148"/>
      <c r="AG179" s="147"/>
      <c r="AH179" s="147"/>
    </row>
    <row r="180" spans="4:34" ht="18" hidden="1" customHeight="1">
      <c r="D180" s="15">
        <v>170</v>
      </c>
      <c r="E180" s="13" t="s">
        <v>555</v>
      </c>
      <c r="F180" s="15"/>
      <c r="G180" s="118"/>
      <c r="H180" s="126"/>
      <c r="I180" s="14"/>
      <c r="J180" s="48"/>
      <c r="K180" s="118"/>
      <c r="L180" s="118"/>
      <c r="M180" s="118"/>
      <c r="N180" s="127"/>
      <c r="O180" s="16"/>
      <c r="P180" s="147"/>
      <c r="Q180" s="147"/>
      <c r="R180" s="147"/>
      <c r="S180" s="147"/>
      <c r="T180" s="147"/>
      <c r="U180" s="217"/>
      <c r="V180" s="147"/>
      <c r="W180" s="147"/>
      <c r="X180" s="154"/>
      <c r="Y180" s="147"/>
      <c r="Z180" s="150"/>
      <c r="AA180" s="151"/>
      <c r="AB180" s="150"/>
      <c r="AC180" s="151"/>
      <c r="AD180" s="152"/>
      <c r="AE180" s="153"/>
      <c r="AF180" s="148"/>
      <c r="AG180" s="147"/>
      <c r="AH180" s="147"/>
    </row>
    <row r="181" spans="4:34" ht="18" hidden="1" customHeight="1">
      <c r="D181" s="13">
        <v>171</v>
      </c>
      <c r="E181" s="13" t="s">
        <v>556</v>
      </c>
      <c r="F181" s="15"/>
      <c r="G181" s="118"/>
      <c r="H181" s="126"/>
      <c r="I181" s="14"/>
      <c r="J181" s="48"/>
      <c r="K181" s="118"/>
      <c r="L181" s="118"/>
      <c r="M181" s="118"/>
      <c r="N181" s="127"/>
      <c r="O181" s="16"/>
      <c r="P181" s="147"/>
      <c r="Q181" s="226"/>
      <c r="R181" s="147"/>
      <c r="S181" s="147"/>
      <c r="T181" s="147"/>
      <c r="U181" s="217"/>
      <c r="V181" s="147"/>
      <c r="W181" s="147"/>
      <c r="X181" s="154"/>
      <c r="Y181" s="147"/>
      <c r="Z181" s="150"/>
      <c r="AA181" s="151"/>
      <c r="AB181" s="150"/>
      <c r="AC181" s="151"/>
      <c r="AD181" s="152"/>
      <c r="AE181" s="153"/>
      <c r="AF181" s="148"/>
      <c r="AG181" s="147"/>
      <c r="AH181" s="147"/>
    </row>
    <row r="182" spans="4:34" ht="18" hidden="1" customHeight="1">
      <c r="D182" s="15">
        <v>172</v>
      </c>
      <c r="E182" s="13" t="s">
        <v>557</v>
      </c>
      <c r="F182" s="15"/>
      <c r="G182" s="118"/>
      <c r="H182" s="126"/>
      <c r="I182" s="14"/>
      <c r="J182" s="48"/>
      <c r="K182" s="118"/>
      <c r="L182" s="118"/>
      <c r="M182" s="118"/>
      <c r="N182" s="127"/>
      <c r="O182" s="16"/>
      <c r="P182" s="147"/>
      <c r="Q182" s="223"/>
      <c r="R182" s="147"/>
      <c r="S182" s="147"/>
      <c r="T182" s="147"/>
      <c r="U182" s="217"/>
      <c r="V182" s="147"/>
      <c r="W182" s="147"/>
      <c r="X182" s="154"/>
      <c r="Y182" s="147"/>
      <c r="Z182" s="150"/>
      <c r="AA182" s="151"/>
      <c r="AB182" s="150"/>
      <c r="AC182" s="151"/>
      <c r="AD182" s="152"/>
      <c r="AE182" s="153"/>
      <c r="AF182" s="148"/>
      <c r="AG182" s="147"/>
      <c r="AH182" s="147"/>
    </row>
    <row r="183" spans="4:34" ht="18" hidden="1" customHeight="1">
      <c r="D183" s="13">
        <v>173</v>
      </c>
      <c r="E183" s="13" t="s">
        <v>558</v>
      </c>
      <c r="F183" s="15"/>
      <c r="G183" s="118"/>
      <c r="H183" s="126"/>
      <c r="I183" s="14"/>
      <c r="J183" s="48"/>
      <c r="K183" s="118"/>
      <c r="L183" s="118"/>
      <c r="M183" s="118"/>
      <c r="N183" s="127"/>
      <c r="O183" s="16"/>
      <c r="P183" s="147"/>
      <c r="Q183" s="147"/>
      <c r="R183" s="147"/>
      <c r="S183" s="147"/>
      <c r="T183" s="147"/>
      <c r="U183" s="217"/>
      <c r="V183" s="147"/>
      <c r="W183" s="147"/>
      <c r="X183" s="154"/>
      <c r="Y183" s="147"/>
      <c r="Z183" s="150"/>
      <c r="AA183" s="151"/>
      <c r="AB183" s="150"/>
      <c r="AC183" s="151"/>
      <c r="AD183" s="152"/>
      <c r="AE183" s="153"/>
      <c r="AF183" s="148"/>
      <c r="AG183" s="147"/>
      <c r="AH183" s="147"/>
    </row>
    <row r="184" spans="4:34" ht="18" hidden="1" customHeight="1">
      <c r="D184" s="15">
        <v>174</v>
      </c>
      <c r="E184" s="13" t="s">
        <v>559</v>
      </c>
      <c r="F184" s="15"/>
      <c r="G184" s="118"/>
      <c r="H184" s="126"/>
      <c r="I184" s="14"/>
      <c r="J184" s="48"/>
      <c r="K184" s="118"/>
      <c r="L184" s="118"/>
      <c r="M184" s="118"/>
      <c r="N184" s="127"/>
      <c r="O184" s="16"/>
      <c r="P184" s="147"/>
      <c r="Q184" s="147"/>
      <c r="R184" s="147"/>
      <c r="S184" s="147"/>
      <c r="T184" s="147"/>
      <c r="U184" s="217"/>
      <c r="V184" s="147"/>
      <c r="W184" s="147"/>
      <c r="X184" s="154"/>
      <c r="Y184" s="147"/>
      <c r="Z184" s="150"/>
      <c r="AA184" s="151"/>
      <c r="AB184" s="150"/>
      <c r="AC184" s="151"/>
      <c r="AD184" s="152"/>
      <c r="AE184" s="153"/>
      <c r="AF184" s="148"/>
      <c r="AG184" s="147"/>
      <c r="AH184" s="147"/>
    </row>
    <row r="185" spans="4:34" ht="18" hidden="1" customHeight="1">
      <c r="D185" s="13">
        <v>175</v>
      </c>
      <c r="E185" s="13" t="s">
        <v>560</v>
      </c>
      <c r="F185" s="15"/>
      <c r="G185" s="118"/>
      <c r="H185" s="126"/>
      <c r="I185" s="14"/>
      <c r="J185" s="48"/>
      <c r="K185" s="118"/>
      <c r="L185" s="118"/>
      <c r="M185" s="118"/>
      <c r="N185" s="127"/>
      <c r="O185" s="16"/>
      <c r="P185" s="147"/>
      <c r="Q185" s="147"/>
      <c r="R185" s="147"/>
      <c r="S185" s="147"/>
      <c r="T185" s="147"/>
      <c r="U185" s="217"/>
      <c r="V185" s="147"/>
      <c r="W185" s="147"/>
      <c r="X185" s="154"/>
      <c r="Y185" s="147"/>
      <c r="Z185" s="150"/>
      <c r="AA185" s="151"/>
      <c r="AB185" s="150"/>
      <c r="AC185" s="151"/>
      <c r="AD185" s="152"/>
      <c r="AE185" s="153"/>
      <c r="AF185" s="148"/>
      <c r="AG185" s="147"/>
      <c r="AH185" s="147"/>
    </row>
    <row r="186" spans="4:34" ht="18" hidden="1" customHeight="1">
      <c r="D186" s="15">
        <v>176</v>
      </c>
      <c r="E186" s="13" t="s">
        <v>561</v>
      </c>
      <c r="F186" s="15"/>
      <c r="G186" s="118"/>
      <c r="H186" s="126"/>
      <c r="I186" s="14"/>
      <c r="J186" s="48"/>
      <c r="K186" s="118"/>
      <c r="L186" s="118"/>
      <c r="M186" s="118"/>
      <c r="N186" s="127"/>
      <c r="O186" s="16"/>
      <c r="P186" s="147"/>
      <c r="Q186" s="147"/>
      <c r="R186" s="147"/>
      <c r="S186" s="147"/>
      <c r="T186" s="147"/>
      <c r="U186" s="217"/>
      <c r="V186" s="147"/>
      <c r="W186" s="147"/>
      <c r="X186" s="154"/>
      <c r="Y186" s="147"/>
      <c r="Z186" s="150"/>
      <c r="AA186" s="151"/>
      <c r="AB186" s="150"/>
      <c r="AC186" s="151"/>
      <c r="AD186" s="152"/>
      <c r="AE186" s="153"/>
      <c r="AF186" s="148"/>
      <c r="AG186" s="147"/>
      <c r="AH186" s="147"/>
    </row>
    <row r="187" spans="4:34" ht="18" hidden="1" customHeight="1">
      <c r="D187" s="13">
        <v>177</v>
      </c>
      <c r="E187" s="13" t="s">
        <v>562</v>
      </c>
      <c r="F187" s="15"/>
      <c r="G187" s="118"/>
      <c r="H187" s="126"/>
      <c r="I187" s="14"/>
      <c r="J187" s="48"/>
      <c r="K187" s="118"/>
      <c r="L187" s="118"/>
      <c r="M187" s="118"/>
      <c r="N187" s="127"/>
      <c r="O187" s="16"/>
      <c r="P187" s="147"/>
      <c r="Q187" s="147"/>
      <c r="R187" s="147"/>
      <c r="S187" s="147"/>
      <c r="T187" s="147"/>
      <c r="U187" s="217"/>
      <c r="V187" s="147"/>
      <c r="W187" s="147"/>
      <c r="X187" s="154"/>
      <c r="Y187" s="147"/>
      <c r="Z187" s="150"/>
      <c r="AA187" s="151"/>
      <c r="AB187" s="150"/>
      <c r="AC187" s="151"/>
      <c r="AD187" s="152"/>
      <c r="AE187" s="153"/>
      <c r="AF187" s="148"/>
      <c r="AG187" s="147"/>
      <c r="AH187" s="147"/>
    </row>
    <row r="188" spans="4:34" ht="18" hidden="1" customHeight="1">
      <c r="D188" s="15">
        <v>178</v>
      </c>
      <c r="E188" s="13" t="s">
        <v>563</v>
      </c>
      <c r="F188" s="15"/>
      <c r="G188" s="118"/>
      <c r="H188" s="126"/>
      <c r="I188" s="14"/>
      <c r="J188" s="48"/>
      <c r="K188" s="118"/>
      <c r="L188" s="118"/>
      <c r="M188" s="118"/>
      <c r="N188" s="127"/>
      <c r="O188" s="16"/>
      <c r="P188" s="147"/>
      <c r="Q188" s="147"/>
      <c r="R188" s="147"/>
      <c r="S188" s="147"/>
      <c r="T188" s="147"/>
      <c r="U188" s="217"/>
      <c r="V188" s="147"/>
      <c r="W188" s="147"/>
      <c r="X188" s="154"/>
      <c r="Y188" s="147"/>
      <c r="Z188" s="150"/>
      <c r="AA188" s="151"/>
      <c r="AB188" s="150"/>
      <c r="AC188" s="151"/>
      <c r="AD188" s="152"/>
      <c r="AE188" s="153"/>
      <c r="AF188" s="148"/>
      <c r="AG188" s="147"/>
      <c r="AH188" s="147"/>
    </row>
    <row r="189" spans="4:34" ht="18" hidden="1" customHeight="1">
      <c r="D189" s="13">
        <v>179</v>
      </c>
      <c r="E189" s="13" t="s">
        <v>564</v>
      </c>
      <c r="F189" s="15"/>
      <c r="G189" s="118"/>
      <c r="H189" s="126"/>
      <c r="I189" s="14"/>
      <c r="J189" s="48"/>
      <c r="K189" s="118"/>
      <c r="L189" s="118"/>
      <c r="M189" s="118"/>
      <c r="N189" s="127"/>
      <c r="O189" s="16"/>
      <c r="P189" s="147"/>
      <c r="Q189" s="147"/>
      <c r="R189" s="147"/>
      <c r="S189" s="147"/>
      <c r="T189" s="147"/>
      <c r="U189" s="217"/>
      <c r="V189" s="147"/>
      <c r="W189" s="147"/>
      <c r="X189" s="154"/>
      <c r="Y189" s="147"/>
      <c r="Z189" s="150"/>
      <c r="AA189" s="151"/>
      <c r="AB189" s="150"/>
      <c r="AC189" s="151"/>
      <c r="AD189" s="152"/>
      <c r="AE189" s="153"/>
      <c r="AF189" s="148"/>
      <c r="AG189" s="147"/>
      <c r="AH189" s="147"/>
    </row>
    <row r="190" spans="4:34" ht="18" hidden="1" customHeight="1">
      <c r="D190" s="15">
        <v>180</v>
      </c>
      <c r="E190" s="13" t="s">
        <v>565</v>
      </c>
      <c r="F190" s="15"/>
      <c r="G190" s="118"/>
      <c r="H190" s="126"/>
      <c r="I190" s="14"/>
      <c r="J190" s="48"/>
      <c r="K190" s="118"/>
      <c r="L190" s="118"/>
      <c r="M190" s="118"/>
      <c r="N190" s="127"/>
      <c r="O190" s="16"/>
      <c r="P190" s="147"/>
      <c r="Q190" s="147"/>
      <c r="R190" s="147"/>
      <c r="S190" s="147"/>
      <c r="T190" s="147"/>
      <c r="U190" s="217"/>
      <c r="V190" s="147"/>
      <c r="W190" s="147"/>
      <c r="X190" s="154"/>
      <c r="Y190" s="147"/>
      <c r="Z190" s="150"/>
      <c r="AA190" s="151"/>
      <c r="AB190" s="150"/>
      <c r="AC190" s="151"/>
      <c r="AD190" s="152"/>
      <c r="AE190" s="153"/>
      <c r="AF190" s="148"/>
      <c r="AG190" s="147"/>
      <c r="AH190" s="147"/>
    </row>
    <row r="191" spans="4:34" ht="18" hidden="1" customHeight="1">
      <c r="D191" s="13">
        <v>181</v>
      </c>
      <c r="E191" s="13" t="s">
        <v>566</v>
      </c>
      <c r="F191" s="15"/>
      <c r="G191" s="118"/>
      <c r="H191" s="126"/>
      <c r="I191" s="14"/>
      <c r="J191" s="48"/>
      <c r="K191" s="118"/>
      <c r="L191" s="118"/>
      <c r="M191" s="118"/>
      <c r="N191" s="127"/>
      <c r="O191" s="16"/>
      <c r="P191" s="147"/>
      <c r="Q191" s="222"/>
      <c r="R191" s="147"/>
      <c r="S191" s="147"/>
      <c r="T191" s="147"/>
      <c r="U191" s="217"/>
      <c r="V191" s="147"/>
      <c r="W191" s="147"/>
      <c r="X191" s="154"/>
      <c r="Y191" s="147"/>
      <c r="Z191" s="150"/>
      <c r="AA191" s="151"/>
      <c r="AB191" s="150"/>
      <c r="AC191" s="151"/>
      <c r="AD191" s="152"/>
      <c r="AE191" s="153"/>
      <c r="AF191" s="148"/>
      <c r="AG191" s="147"/>
      <c r="AH191" s="147"/>
    </row>
    <row r="192" spans="4:34" ht="18" hidden="1" customHeight="1">
      <c r="D192" s="15">
        <v>182</v>
      </c>
      <c r="E192" s="13" t="s">
        <v>567</v>
      </c>
      <c r="F192" s="15"/>
      <c r="G192" s="118"/>
      <c r="H192" s="126"/>
      <c r="I192" s="14"/>
      <c r="J192" s="48"/>
      <c r="K192" s="118"/>
      <c r="L192" s="118"/>
      <c r="M192" s="118"/>
      <c r="N192" s="127"/>
      <c r="O192" s="16"/>
      <c r="P192" s="147"/>
      <c r="Q192" s="147"/>
      <c r="R192" s="147"/>
      <c r="S192" s="147"/>
      <c r="T192" s="147"/>
      <c r="U192" s="217"/>
      <c r="V192" s="147"/>
      <c r="W192" s="147"/>
      <c r="X192" s="154"/>
      <c r="Y192" s="147"/>
      <c r="Z192" s="150"/>
      <c r="AA192" s="151"/>
      <c r="AB192" s="150"/>
      <c r="AC192" s="151"/>
      <c r="AD192" s="152"/>
      <c r="AE192" s="153"/>
      <c r="AF192" s="148"/>
      <c r="AG192" s="147"/>
      <c r="AH192" s="147"/>
    </row>
    <row r="193" spans="4:34" ht="18" hidden="1" customHeight="1">
      <c r="D193" s="13">
        <v>183</v>
      </c>
      <c r="E193" s="13" t="s">
        <v>568</v>
      </c>
      <c r="F193" s="15"/>
      <c r="G193" s="118"/>
      <c r="H193" s="126"/>
      <c r="I193" s="14"/>
      <c r="J193" s="48"/>
      <c r="K193" s="118"/>
      <c r="L193" s="118"/>
      <c r="M193" s="118"/>
      <c r="N193" s="127"/>
      <c r="O193" s="16"/>
      <c r="P193" s="147"/>
      <c r="Q193" s="147"/>
      <c r="R193" s="147"/>
      <c r="S193" s="147"/>
      <c r="T193" s="147"/>
      <c r="U193" s="217"/>
      <c r="V193" s="147"/>
      <c r="W193" s="147"/>
      <c r="X193" s="154"/>
      <c r="Y193" s="147"/>
      <c r="Z193" s="150"/>
      <c r="AA193" s="151"/>
      <c r="AB193" s="150"/>
      <c r="AC193" s="151"/>
      <c r="AD193" s="152"/>
      <c r="AE193" s="153"/>
      <c r="AF193" s="148"/>
      <c r="AG193" s="147"/>
      <c r="AH193" s="147"/>
    </row>
    <row r="194" spans="4:34" ht="18" hidden="1" customHeight="1">
      <c r="D194" s="15">
        <v>184</v>
      </c>
      <c r="E194" s="13" t="s">
        <v>569</v>
      </c>
      <c r="F194" s="15"/>
      <c r="G194" s="118"/>
      <c r="H194" s="126"/>
      <c r="I194" s="14"/>
      <c r="J194" s="48"/>
      <c r="K194" s="118"/>
      <c r="L194" s="118"/>
      <c r="M194" s="118"/>
      <c r="N194" s="127"/>
      <c r="O194" s="16"/>
      <c r="P194" s="147"/>
      <c r="Q194" s="147"/>
      <c r="R194" s="147"/>
      <c r="S194" s="147"/>
      <c r="T194" s="147"/>
      <c r="U194" s="217"/>
      <c r="V194" s="147"/>
      <c r="W194" s="147"/>
      <c r="X194" s="154"/>
      <c r="Y194" s="147"/>
      <c r="Z194" s="150"/>
      <c r="AA194" s="151"/>
      <c r="AB194" s="150"/>
      <c r="AC194" s="151"/>
      <c r="AD194" s="152"/>
      <c r="AE194" s="153"/>
      <c r="AF194" s="148"/>
      <c r="AG194" s="147"/>
      <c r="AH194" s="147"/>
    </row>
    <row r="195" spans="4:34" ht="18" hidden="1" customHeight="1">
      <c r="D195" s="13">
        <v>185</v>
      </c>
      <c r="E195" s="13" t="s">
        <v>570</v>
      </c>
      <c r="F195" s="15"/>
      <c r="G195" s="118"/>
      <c r="H195" s="126"/>
      <c r="I195" s="14"/>
      <c r="J195" s="48"/>
      <c r="K195" s="118"/>
      <c r="L195" s="118"/>
      <c r="M195" s="118"/>
      <c r="N195" s="127"/>
      <c r="O195" s="16"/>
      <c r="P195" s="147"/>
      <c r="Q195" s="147"/>
      <c r="R195" s="147"/>
      <c r="S195" s="147"/>
      <c r="T195" s="147"/>
      <c r="U195" s="217"/>
      <c r="V195" s="147"/>
      <c r="W195" s="147"/>
      <c r="X195" s="154"/>
      <c r="Y195" s="147"/>
      <c r="Z195" s="150"/>
      <c r="AA195" s="151"/>
      <c r="AB195" s="150"/>
      <c r="AC195" s="151"/>
      <c r="AD195" s="152"/>
      <c r="AE195" s="153"/>
      <c r="AF195" s="148"/>
      <c r="AG195" s="147"/>
      <c r="AH195" s="147"/>
    </row>
    <row r="196" spans="4:34" ht="18" hidden="1" customHeight="1">
      <c r="D196" s="15">
        <v>186</v>
      </c>
      <c r="E196" s="13" t="s">
        <v>571</v>
      </c>
      <c r="F196" s="15"/>
      <c r="G196" s="118"/>
      <c r="H196" s="126"/>
      <c r="I196" s="14"/>
      <c r="J196" s="48"/>
      <c r="K196" s="118"/>
      <c r="L196" s="118"/>
      <c r="M196" s="118"/>
      <c r="N196" s="127"/>
      <c r="O196" s="16"/>
      <c r="P196" s="147"/>
      <c r="Q196" s="147"/>
      <c r="R196" s="147"/>
      <c r="S196" s="147"/>
      <c r="T196" s="147"/>
      <c r="U196" s="217"/>
      <c r="V196" s="147"/>
      <c r="W196" s="147"/>
      <c r="X196" s="154"/>
      <c r="Y196" s="147"/>
      <c r="Z196" s="150"/>
      <c r="AA196" s="151"/>
      <c r="AB196" s="150"/>
      <c r="AC196" s="151"/>
      <c r="AD196" s="152"/>
      <c r="AE196" s="153"/>
      <c r="AF196" s="148"/>
      <c r="AG196" s="147"/>
      <c r="AH196" s="147"/>
    </row>
    <row r="197" spans="4:34" ht="18" hidden="1" customHeight="1">
      <c r="D197" s="13">
        <v>187</v>
      </c>
      <c r="E197" s="13" t="s">
        <v>572</v>
      </c>
      <c r="F197" s="15"/>
      <c r="G197" s="118"/>
      <c r="H197" s="126"/>
      <c r="I197" s="14"/>
      <c r="J197" s="48"/>
      <c r="K197" s="118"/>
      <c r="L197" s="118"/>
      <c r="M197" s="118"/>
      <c r="N197" s="127"/>
      <c r="O197" s="16"/>
      <c r="P197" s="147"/>
      <c r="Q197" s="147"/>
      <c r="R197" s="147"/>
      <c r="S197" s="147"/>
      <c r="T197" s="147"/>
      <c r="U197" s="217"/>
      <c r="V197" s="147"/>
      <c r="W197" s="147"/>
      <c r="X197" s="154"/>
      <c r="Y197" s="147"/>
      <c r="Z197" s="150"/>
      <c r="AA197" s="151"/>
      <c r="AB197" s="150"/>
      <c r="AC197" s="151"/>
      <c r="AD197" s="152"/>
      <c r="AE197" s="153"/>
      <c r="AF197" s="148"/>
      <c r="AG197" s="147"/>
      <c r="AH197" s="147"/>
    </row>
    <row r="198" spans="4:34" ht="18" hidden="1" customHeight="1">
      <c r="D198" s="15">
        <v>188</v>
      </c>
      <c r="E198" s="13" t="s">
        <v>573</v>
      </c>
      <c r="F198" s="15"/>
      <c r="G198" s="118"/>
      <c r="H198" s="126"/>
      <c r="I198" s="14"/>
      <c r="J198" s="48"/>
      <c r="K198" s="118"/>
      <c r="L198" s="118"/>
      <c r="M198" s="118"/>
      <c r="N198" s="127"/>
      <c r="O198" s="16"/>
      <c r="P198" s="147"/>
      <c r="Q198" s="147"/>
      <c r="R198" s="147"/>
      <c r="S198" s="147"/>
      <c r="T198" s="147"/>
      <c r="U198" s="217"/>
      <c r="V198" s="147"/>
      <c r="W198" s="147"/>
      <c r="X198" s="154"/>
      <c r="Y198" s="147"/>
      <c r="Z198" s="150"/>
      <c r="AA198" s="151"/>
      <c r="AB198" s="150"/>
      <c r="AC198" s="151"/>
      <c r="AD198" s="152"/>
      <c r="AE198" s="153"/>
      <c r="AF198" s="148"/>
      <c r="AG198" s="147"/>
      <c r="AH198" s="147"/>
    </row>
    <row r="199" spans="4:34" ht="18" hidden="1" customHeight="1">
      <c r="D199" s="13">
        <v>189</v>
      </c>
      <c r="E199" s="13" t="s">
        <v>574</v>
      </c>
      <c r="F199" s="15"/>
      <c r="G199" s="118"/>
      <c r="H199" s="126"/>
      <c r="I199" s="14"/>
      <c r="J199" s="48"/>
      <c r="K199" s="118"/>
      <c r="L199" s="118"/>
      <c r="M199" s="118"/>
      <c r="N199" s="127"/>
      <c r="O199" s="16"/>
      <c r="P199" s="147"/>
      <c r="Q199" s="147"/>
      <c r="R199" s="147"/>
      <c r="S199" s="147"/>
      <c r="T199" s="147"/>
      <c r="U199" s="217"/>
      <c r="V199" s="147"/>
      <c r="W199" s="147"/>
      <c r="X199" s="154"/>
      <c r="Y199" s="147"/>
      <c r="Z199" s="150"/>
      <c r="AA199" s="151"/>
      <c r="AB199" s="150"/>
      <c r="AC199" s="151"/>
      <c r="AD199" s="152"/>
      <c r="AE199" s="153"/>
      <c r="AF199" s="148"/>
      <c r="AG199" s="147"/>
      <c r="AH199" s="147"/>
    </row>
    <row r="200" spans="4:34" ht="18" hidden="1" customHeight="1">
      <c r="D200" s="15">
        <v>190</v>
      </c>
      <c r="E200" s="13" t="s">
        <v>575</v>
      </c>
      <c r="F200" s="15"/>
      <c r="G200" s="118"/>
      <c r="H200" s="126"/>
      <c r="I200" s="14"/>
      <c r="J200" s="48"/>
      <c r="K200" s="118"/>
      <c r="L200" s="118"/>
      <c r="M200" s="118"/>
      <c r="N200" s="127"/>
      <c r="O200" s="16"/>
      <c r="P200" s="147"/>
      <c r="Q200" s="147"/>
      <c r="R200" s="147"/>
      <c r="S200" s="147"/>
      <c r="T200" s="147"/>
      <c r="U200" s="217"/>
      <c r="V200" s="147"/>
      <c r="W200" s="147"/>
      <c r="X200" s="154"/>
      <c r="Y200" s="147"/>
      <c r="Z200" s="150"/>
      <c r="AA200" s="151"/>
      <c r="AB200" s="150"/>
      <c r="AC200" s="151"/>
      <c r="AD200" s="152"/>
      <c r="AE200" s="153"/>
      <c r="AF200" s="148"/>
      <c r="AG200" s="147"/>
      <c r="AH200" s="147"/>
    </row>
    <row r="201" spans="4:34" ht="18" hidden="1" customHeight="1">
      <c r="D201" s="13">
        <v>191</v>
      </c>
      <c r="E201" s="13" t="s">
        <v>576</v>
      </c>
      <c r="F201" s="15"/>
      <c r="G201" s="118"/>
      <c r="H201" s="126"/>
      <c r="I201" s="14"/>
      <c r="J201" s="48"/>
      <c r="K201" s="118"/>
      <c r="L201" s="118"/>
      <c r="M201" s="118"/>
      <c r="N201" s="127"/>
      <c r="O201" s="16"/>
      <c r="P201" s="147"/>
      <c r="Q201" s="147"/>
      <c r="R201" s="147"/>
      <c r="S201" s="147"/>
      <c r="T201" s="147"/>
      <c r="U201" s="217"/>
      <c r="V201" s="147"/>
      <c r="W201" s="147"/>
      <c r="X201" s="154"/>
      <c r="Y201" s="147"/>
      <c r="Z201" s="150"/>
      <c r="AA201" s="151"/>
      <c r="AB201" s="150"/>
      <c r="AC201" s="151"/>
      <c r="AD201" s="152"/>
      <c r="AE201" s="153"/>
      <c r="AF201" s="148"/>
      <c r="AG201" s="147"/>
      <c r="AH201" s="147"/>
    </row>
    <row r="202" spans="4:34" ht="18" hidden="1" customHeight="1">
      <c r="D202" s="15">
        <v>192</v>
      </c>
      <c r="E202" s="13" t="s">
        <v>577</v>
      </c>
      <c r="F202" s="15"/>
      <c r="G202" s="118"/>
      <c r="H202" s="126"/>
      <c r="I202" s="14"/>
      <c r="J202" s="48"/>
      <c r="K202" s="118"/>
      <c r="L202" s="118"/>
      <c r="M202" s="118"/>
      <c r="N202" s="225"/>
      <c r="O202" s="16"/>
      <c r="P202" s="147"/>
      <c r="Q202" s="147"/>
      <c r="R202" s="147"/>
      <c r="S202" s="147"/>
      <c r="T202" s="147"/>
      <c r="U202" s="217"/>
      <c r="V202" s="147"/>
      <c r="W202" s="147"/>
      <c r="X202" s="154"/>
      <c r="Y202" s="147"/>
      <c r="Z202" s="150"/>
      <c r="AA202" s="151"/>
      <c r="AB202" s="150"/>
      <c r="AC202" s="151"/>
      <c r="AD202" s="152"/>
      <c r="AE202" s="153"/>
      <c r="AF202" s="148"/>
      <c r="AG202" s="147"/>
      <c r="AH202" s="147"/>
    </row>
    <row r="203" spans="4:34" ht="18" hidden="1" customHeight="1">
      <c r="D203" s="13">
        <v>193</v>
      </c>
      <c r="E203" s="13" t="s">
        <v>578</v>
      </c>
      <c r="F203" s="15"/>
      <c r="G203" s="118"/>
      <c r="H203" s="126"/>
      <c r="I203" s="14"/>
      <c r="J203" s="48"/>
      <c r="K203" s="118"/>
      <c r="L203" s="118"/>
      <c r="M203" s="118"/>
      <c r="N203" s="225"/>
      <c r="O203" s="16"/>
      <c r="P203" s="147"/>
      <c r="Q203" s="147"/>
      <c r="R203" s="147"/>
      <c r="S203" s="147"/>
      <c r="T203" s="147"/>
      <c r="U203" s="217"/>
      <c r="V203" s="147"/>
      <c r="W203" s="147"/>
      <c r="X203" s="154"/>
      <c r="Y203" s="147"/>
      <c r="Z203" s="150"/>
      <c r="AA203" s="151"/>
      <c r="AB203" s="150"/>
      <c r="AC203" s="151"/>
      <c r="AD203" s="152"/>
      <c r="AE203" s="153"/>
      <c r="AF203" s="148"/>
      <c r="AG203" s="147"/>
      <c r="AH203" s="147"/>
    </row>
    <row r="204" spans="4:34" ht="18" hidden="1" customHeight="1">
      <c r="D204" s="15">
        <v>194</v>
      </c>
      <c r="E204" s="13" t="s">
        <v>579</v>
      </c>
      <c r="F204" s="15"/>
      <c r="G204" s="118"/>
      <c r="H204" s="126"/>
      <c r="I204" s="14"/>
      <c r="J204" s="48"/>
      <c r="K204" s="118"/>
      <c r="L204" s="118"/>
      <c r="M204" s="118"/>
      <c r="N204" s="127"/>
      <c r="O204" s="16"/>
      <c r="P204" s="147"/>
      <c r="Q204" s="147"/>
      <c r="R204" s="147"/>
      <c r="S204" s="147"/>
      <c r="T204" s="147"/>
      <c r="U204" s="217"/>
      <c r="V204" s="147"/>
      <c r="W204" s="147"/>
      <c r="X204" s="154"/>
      <c r="Y204" s="147"/>
      <c r="Z204" s="150"/>
      <c r="AA204" s="151"/>
      <c r="AB204" s="150"/>
      <c r="AC204" s="151"/>
      <c r="AD204" s="152"/>
      <c r="AE204" s="153"/>
      <c r="AF204" s="148"/>
      <c r="AG204" s="147"/>
      <c r="AH204" s="147"/>
    </row>
    <row r="205" spans="4:34" ht="18" hidden="1" customHeight="1">
      <c r="D205" s="13">
        <v>195</v>
      </c>
      <c r="E205" s="13" t="s">
        <v>580</v>
      </c>
      <c r="F205" s="15"/>
      <c r="G205" s="118"/>
      <c r="H205" s="126"/>
      <c r="I205" s="14"/>
      <c r="J205" s="48"/>
      <c r="K205" s="118"/>
      <c r="L205" s="118"/>
      <c r="M205" s="118"/>
      <c r="N205" s="127"/>
      <c r="O205" s="16"/>
      <c r="P205" s="147"/>
      <c r="Q205" s="147"/>
      <c r="R205" s="147"/>
      <c r="S205" s="147"/>
      <c r="T205" s="147"/>
      <c r="U205" s="217"/>
      <c r="V205" s="147"/>
      <c r="W205" s="147"/>
      <c r="X205" s="154"/>
      <c r="Y205" s="147"/>
      <c r="Z205" s="150"/>
      <c r="AA205" s="151"/>
      <c r="AB205" s="150"/>
      <c r="AC205" s="151"/>
      <c r="AD205" s="152"/>
      <c r="AE205" s="153"/>
      <c r="AF205" s="148"/>
      <c r="AG205" s="147"/>
      <c r="AH205" s="147"/>
    </row>
    <row r="206" spans="4:34" ht="18" hidden="1" customHeight="1">
      <c r="D206" s="15">
        <v>196</v>
      </c>
      <c r="E206" s="13" t="s">
        <v>581</v>
      </c>
      <c r="F206" s="15"/>
      <c r="G206" s="118"/>
      <c r="H206" s="126"/>
      <c r="I206" s="14"/>
      <c r="J206" s="48"/>
      <c r="K206" s="118"/>
      <c r="L206" s="118"/>
      <c r="M206" s="118"/>
      <c r="N206" s="127"/>
      <c r="O206" s="127"/>
      <c r="P206" s="147"/>
      <c r="Q206" s="147"/>
      <c r="R206" s="147"/>
      <c r="S206" s="147"/>
      <c r="T206" s="147"/>
      <c r="U206" s="217"/>
      <c r="V206" s="147"/>
      <c r="W206" s="147"/>
      <c r="X206" s="154"/>
      <c r="Y206" s="147"/>
      <c r="Z206" s="150"/>
      <c r="AA206" s="151"/>
      <c r="AB206" s="150"/>
      <c r="AC206" s="151"/>
      <c r="AD206" s="152"/>
      <c r="AE206" s="153"/>
      <c r="AF206" s="148"/>
      <c r="AG206" s="147"/>
      <c r="AH206" s="147"/>
    </row>
    <row r="207" spans="4:34" ht="18" hidden="1" customHeight="1">
      <c r="D207" s="13">
        <v>197</v>
      </c>
      <c r="E207" s="13" t="s">
        <v>582</v>
      </c>
      <c r="F207" s="15"/>
      <c r="G207" s="118"/>
      <c r="H207" s="126"/>
      <c r="I207" s="14"/>
      <c r="J207" s="48"/>
      <c r="K207" s="118"/>
      <c r="L207" s="118"/>
      <c r="M207" s="118"/>
      <c r="N207" s="127"/>
      <c r="O207" s="16"/>
      <c r="P207" s="147"/>
      <c r="Q207" s="147"/>
      <c r="R207" s="147"/>
      <c r="S207" s="147"/>
      <c r="T207" s="147"/>
      <c r="U207" s="217"/>
      <c r="V207" s="147"/>
      <c r="W207" s="147"/>
      <c r="X207" s="154"/>
      <c r="Y207" s="147"/>
      <c r="Z207" s="150"/>
      <c r="AA207" s="151"/>
      <c r="AB207" s="150"/>
      <c r="AC207" s="151"/>
      <c r="AD207" s="152"/>
      <c r="AE207" s="153"/>
      <c r="AF207" s="148"/>
      <c r="AG207" s="147"/>
      <c r="AH207" s="147"/>
    </row>
    <row r="208" spans="4:34" ht="18" hidden="1" customHeight="1">
      <c r="D208" s="15">
        <v>198</v>
      </c>
      <c r="E208" s="13" t="s">
        <v>583</v>
      </c>
      <c r="F208" s="15"/>
      <c r="G208" s="118"/>
      <c r="H208" s="126"/>
      <c r="I208" s="14"/>
      <c r="J208" s="48"/>
      <c r="K208" s="118"/>
      <c r="L208" s="118"/>
      <c r="M208" s="118"/>
      <c r="N208" s="127"/>
      <c r="O208" s="16"/>
      <c r="P208" s="147"/>
      <c r="Q208" s="147"/>
      <c r="R208" s="147"/>
      <c r="S208" s="147"/>
      <c r="T208" s="147"/>
      <c r="U208" s="217"/>
      <c r="V208" s="147"/>
      <c r="W208" s="147"/>
      <c r="X208" s="154"/>
      <c r="Y208" s="147"/>
      <c r="Z208" s="150"/>
      <c r="AA208" s="151"/>
      <c r="AB208" s="150"/>
      <c r="AC208" s="151"/>
      <c r="AD208" s="152"/>
      <c r="AE208" s="153"/>
      <c r="AF208" s="148"/>
      <c r="AG208" s="147"/>
      <c r="AH208" s="147"/>
    </row>
    <row r="209" spans="4:34" ht="18" hidden="1" customHeight="1">
      <c r="D209" s="13">
        <v>199</v>
      </c>
      <c r="E209" s="13" t="s">
        <v>584</v>
      </c>
      <c r="F209" s="15"/>
      <c r="G209" s="118"/>
      <c r="H209" s="126"/>
      <c r="I209" s="14"/>
      <c r="J209" s="48"/>
      <c r="K209" s="118"/>
      <c r="L209" s="118"/>
      <c r="M209" s="118"/>
      <c r="N209" s="127"/>
      <c r="O209" s="16"/>
      <c r="P209" s="147"/>
      <c r="Q209" s="147"/>
      <c r="R209" s="147"/>
      <c r="S209" s="147"/>
      <c r="T209" s="147"/>
      <c r="U209" s="217"/>
      <c r="V209" s="147"/>
      <c r="W209" s="147"/>
      <c r="X209" s="154"/>
      <c r="Y209" s="147"/>
      <c r="Z209" s="150"/>
      <c r="AA209" s="151"/>
      <c r="AB209" s="150"/>
      <c r="AC209" s="151"/>
      <c r="AD209" s="152"/>
      <c r="AE209" s="153"/>
      <c r="AF209" s="148"/>
      <c r="AG209" s="147"/>
      <c r="AH209" s="147"/>
    </row>
    <row r="210" spans="4:34" ht="18" hidden="1" customHeight="1">
      <c r="D210" s="15">
        <v>200</v>
      </c>
      <c r="E210" s="13" t="s">
        <v>585</v>
      </c>
      <c r="F210" s="15"/>
      <c r="G210" s="118"/>
      <c r="H210" s="126"/>
      <c r="I210" s="14"/>
      <c r="J210" s="48"/>
      <c r="K210" s="118"/>
      <c r="L210" s="118"/>
      <c r="M210" s="118"/>
      <c r="N210" s="127"/>
      <c r="O210" s="16"/>
      <c r="P210" s="147"/>
      <c r="Q210" s="147"/>
      <c r="R210" s="147"/>
      <c r="S210" s="147"/>
      <c r="T210" s="147"/>
      <c r="U210" s="217"/>
      <c r="V210" s="147"/>
      <c r="W210" s="147"/>
      <c r="X210" s="154"/>
      <c r="Y210" s="147"/>
      <c r="Z210" s="150"/>
      <c r="AA210" s="151"/>
      <c r="AB210" s="150"/>
      <c r="AC210" s="151"/>
      <c r="AD210" s="152"/>
      <c r="AE210" s="153"/>
      <c r="AF210" s="148"/>
      <c r="AG210" s="147"/>
      <c r="AH210" s="147"/>
    </row>
    <row r="211" spans="4:34" ht="18" hidden="1" customHeight="1">
      <c r="D211" s="13">
        <v>201</v>
      </c>
      <c r="E211" s="13" t="s">
        <v>586</v>
      </c>
      <c r="F211" s="15"/>
      <c r="G211" s="118"/>
      <c r="H211" s="126"/>
      <c r="I211" s="14"/>
      <c r="J211" s="48"/>
      <c r="K211" s="118"/>
      <c r="L211" s="118"/>
      <c r="M211" s="118"/>
      <c r="N211" s="127"/>
      <c r="O211" s="16"/>
      <c r="P211" s="147"/>
      <c r="Q211" s="147"/>
      <c r="R211" s="147"/>
      <c r="S211" s="147"/>
      <c r="T211" s="147"/>
      <c r="U211" s="217"/>
      <c r="V211" s="147"/>
      <c r="W211" s="147"/>
      <c r="X211" s="154"/>
      <c r="Y211" s="147"/>
      <c r="Z211" s="150"/>
      <c r="AA211" s="151"/>
      <c r="AB211" s="150"/>
      <c r="AC211" s="151"/>
      <c r="AD211" s="152"/>
      <c r="AE211" s="153"/>
      <c r="AF211" s="148"/>
      <c r="AG211" s="147"/>
      <c r="AH211" s="147"/>
    </row>
    <row r="212" spans="4:34" ht="18" hidden="1" customHeight="1">
      <c r="D212" s="15">
        <v>202</v>
      </c>
      <c r="E212" s="13" t="s">
        <v>587</v>
      </c>
      <c r="F212" s="15"/>
      <c r="G212" s="118"/>
      <c r="H212" s="126"/>
      <c r="I212" s="14"/>
      <c r="J212" s="48"/>
      <c r="K212" s="118"/>
      <c r="L212" s="118"/>
      <c r="M212" s="118"/>
      <c r="N212" s="127"/>
      <c r="O212" s="16"/>
      <c r="P212" s="147"/>
      <c r="Q212" s="147"/>
      <c r="R212" s="147"/>
      <c r="S212" s="147"/>
      <c r="T212" s="147"/>
      <c r="U212" s="217"/>
      <c r="V212" s="147"/>
      <c r="W212" s="147"/>
      <c r="X212" s="154"/>
      <c r="Y212" s="147"/>
      <c r="Z212" s="150"/>
      <c r="AA212" s="151"/>
      <c r="AB212" s="150"/>
      <c r="AC212" s="151"/>
      <c r="AD212" s="152"/>
      <c r="AE212" s="153"/>
      <c r="AF212" s="148"/>
      <c r="AG212" s="147"/>
      <c r="AH212" s="147"/>
    </row>
    <row r="213" spans="4:34" ht="18" hidden="1" customHeight="1">
      <c r="D213" s="13">
        <v>203</v>
      </c>
      <c r="E213" s="13" t="s">
        <v>588</v>
      </c>
      <c r="F213" s="15"/>
      <c r="G213" s="118"/>
      <c r="H213" s="126"/>
      <c r="I213" s="14"/>
      <c r="J213" s="48"/>
      <c r="K213" s="118"/>
      <c r="L213" s="118"/>
      <c r="M213" s="118"/>
      <c r="N213" s="127"/>
      <c r="O213" s="16"/>
      <c r="P213" s="147"/>
      <c r="Q213" s="147"/>
      <c r="R213" s="147"/>
      <c r="S213" s="147"/>
      <c r="T213" s="147"/>
      <c r="U213" s="217"/>
      <c r="V213" s="147"/>
      <c r="W213" s="147"/>
      <c r="X213" s="154"/>
      <c r="Y213" s="147"/>
      <c r="Z213" s="150"/>
      <c r="AA213" s="151"/>
      <c r="AB213" s="150"/>
      <c r="AC213" s="151"/>
      <c r="AD213" s="152"/>
      <c r="AE213" s="153"/>
      <c r="AF213" s="148"/>
      <c r="AG213" s="147"/>
      <c r="AH213" s="227"/>
    </row>
    <row r="214" spans="4:34" ht="18" hidden="1" customHeight="1">
      <c r="D214" s="15">
        <v>204</v>
      </c>
      <c r="E214" s="13" t="s">
        <v>589</v>
      </c>
      <c r="F214" s="15"/>
      <c r="G214" s="118"/>
      <c r="H214" s="126"/>
      <c r="I214" s="14"/>
      <c r="J214" s="48"/>
      <c r="K214" s="118"/>
      <c r="L214" s="118"/>
      <c r="M214" s="118"/>
      <c r="N214" s="127"/>
      <c r="O214" s="16"/>
      <c r="P214" s="147"/>
      <c r="Q214" s="147"/>
      <c r="R214" s="147"/>
      <c r="S214" s="147"/>
      <c r="T214" s="147"/>
      <c r="U214" s="217"/>
      <c r="V214" s="147"/>
      <c r="W214" s="147"/>
      <c r="X214" s="154"/>
      <c r="Y214" s="147"/>
      <c r="Z214" s="150"/>
      <c r="AA214" s="151"/>
      <c r="AB214" s="150"/>
      <c r="AC214" s="151"/>
      <c r="AD214" s="152"/>
      <c r="AE214" s="153"/>
      <c r="AF214" s="148"/>
      <c r="AG214" s="147"/>
      <c r="AH214" s="147"/>
    </row>
    <row r="215" spans="4:34" ht="18" hidden="1" customHeight="1">
      <c r="D215" s="13">
        <v>205</v>
      </c>
      <c r="E215" s="13" t="s">
        <v>590</v>
      </c>
      <c r="F215" s="15"/>
      <c r="G215" s="118"/>
      <c r="H215" s="126"/>
      <c r="I215" s="14"/>
      <c r="J215" s="48"/>
      <c r="K215" s="118"/>
      <c r="L215" s="118"/>
      <c r="M215" s="118"/>
      <c r="N215" s="127"/>
      <c r="O215" s="16"/>
      <c r="P215" s="147"/>
      <c r="Q215" s="147"/>
      <c r="R215" s="147"/>
      <c r="S215" s="147"/>
      <c r="T215" s="147"/>
      <c r="U215" s="217"/>
      <c r="V215" s="147"/>
      <c r="W215" s="147"/>
      <c r="X215" s="154"/>
      <c r="Y215" s="147"/>
      <c r="Z215" s="150"/>
      <c r="AA215" s="151"/>
      <c r="AB215" s="150"/>
      <c r="AC215" s="151"/>
      <c r="AD215" s="152"/>
      <c r="AE215" s="153"/>
      <c r="AF215" s="148"/>
      <c r="AG215" s="147"/>
      <c r="AH215" s="147"/>
    </row>
    <row r="216" spans="4:34" ht="18" hidden="1" customHeight="1">
      <c r="D216" s="15">
        <v>206</v>
      </c>
      <c r="E216" s="13" t="s">
        <v>591</v>
      </c>
      <c r="F216" s="15"/>
      <c r="G216" s="118"/>
      <c r="H216" s="126"/>
      <c r="I216" s="14"/>
      <c r="J216" s="48"/>
      <c r="K216" s="118"/>
      <c r="L216" s="118"/>
      <c r="M216" s="118"/>
      <c r="N216" s="127"/>
      <c r="O216" s="16"/>
      <c r="P216" s="147"/>
      <c r="Q216" s="147"/>
      <c r="R216" s="147"/>
      <c r="S216" s="147"/>
      <c r="T216" s="147"/>
      <c r="U216" s="217"/>
      <c r="V216" s="147"/>
      <c r="W216" s="147"/>
      <c r="X216" s="154"/>
      <c r="Y216" s="147"/>
      <c r="Z216" s="150"/>
      <c r="AA216" s="151"/>
      <c r="AB216" s="150"/>
      <c r="AC216" s="151"/>
      <c r="AD216" s="152"/>
      <c r="AE216" s="153"/>
      <c r="AF216" s="148"/>
      <c r="AG216" s="147"/>
      <c r="AH216" s="147"/>
    </row>
    <row r="217" spans="4:34" ht="18" hidden="1" customHeight="1">
      <c r="D217" s="13">
        <v>207</v>
      </c>
      <c r="E217" s="13" t="s">
        <v>592</v>
      </c>
      <c r="F217" s="15"/>
      <c r="G217" s="118"/>
      <c r="H217" s="126"/>
      <c r="I217" s="14"/>
      <c r="J217" s="48"/>
      <c r="K217" s="118"/>
      <c r="L217" s="118"/>
      <c r="M217" s="118"/>
      <c r="N217" s="127"/>
      <c r="O217" s="16"/>
      <c r="P217" s="147"/>
      <c r="Q217" s="147"/>
      <c r="R217" s="147"/>
      <c r="S217" s="147"/>
      <c r="T217" s="147"/>
      <c r="U217" s="217"/>
      <c r="V217" s="147"/>
      <c r="W217" s="147"/>
      <c r="X217" s="154"/>
      <c r="Y217" s="147"/>
      <c r="Z217" s="150"/>
      <c r="AA217" s="151"/>
      <c r="AB217" s="150"/>
      <c r="AC217" s="151"/>
      <c r="AD217" s="152"/>
      <c r="AE217" s="153"/>
      <c r="AF217" s="148"/>
      <c r="AG217" s="147"/>
      <c r="AH217" s="147"/>
    </row>
    <row r="218" spans="4:34" ht="18" hidden="1" customHeight="1">
      <c r="D218" s="15">
        <v>208</v>
      </c>
      <c r="E218" s="13" t="s">
        <v>593</v>
      </c>
      <c r="F218" s="15"/>
      <c r="G218" s="118"/>
      <c r="H218" s="126"/>
      <c r="I218" s="14"/>
      <c r="J218" s="48"/>
      <c r="K218" s="118"/>
      <c r="L218" s="118"/>
      <c r="M218" s="118"/>
      <c r="N218" s="127"/>
      <c r="O218" s="16"/>
      <c r="P218" s="147"/>
      <c r="Q218" s="147"/>
      <c r="R218" s="147"/>
      <c r="S218" s="147"/>
      <c r="T218" s="147"/>
      <c r="U218" s="217"/>
      <c r="V218" s="147"/>
      <c r="W218" s="147"/>
      <c r="X218" s="154"/>
      <c r="Y218" s="147"/>
      <c r="Z218" s="150"/>
      <c r="AA218" s="151"/>
      <c r="AB218" s="150"/>
      <c r="AC218" s="151"/>
      <c r="AD218" s="152"/>
      <c r="AE218" s="153"/>
      <c r="AF218" s="148"/>
      <c r="AG218" s="147"/>
      <c r="AH218" s="147"/>
    </row>
    <row r="219" spans="4:34" ht="18" hidden="1" customHeight="1">
      <c r="D219" s="13">
        <v>209</v>
      </c>
      <c r="E219" s="13" t="s">
        <v>594</v>
      </c>
      <c r="F219" s="15"/>
      <c r="G219" s="118"/>
      <c r="H219" s="126"/>
      <c r="I219" s="14"/>
      <c r="J219" s="48"/>
      <c r="K219" s="118"/>
      <c r="L219" s="118"/>
      <c r="M219" s="118"/>
      <c r="N219" s="127"/>
      <c r="O219" s="16"/>
      <c r="P219" s="147"/>
      <c r="Q219" s="147"/>
      <c r="R219" s="147"/>
      <c r="S219" s="147"/>
      <c r="T219" s="147"/>
      <c r="U219" s="217"/>
      <c r="V219" s="147"/>
      <c r="W219" s="147"/>
      <c r="X219" s="154"/>
      <c r="Y219" s="147"/>
      <c r="Z219" s="150"/>
      <c r="AA219" s="151"/>
      <c r="AB219" s="150"/>
      <c r="AC219" s="151"/>
      <c r="AD219" s="152"/>
      <c r="AE219" s="153"/>
      <c r="AF219" s="148"/>
      <c r="AG219" s="147"/>
      <c r="AH219" s="147"/>
    </row>
    <row r="220" spans="4:34" ht="18" hidden="1" customHeight="1">
      <c r="D220" s="15">
        <v>210</v>
      </c>
      <c r="E220" s="13" t="s">
        <v>595</v>
      </c>
      <c r="F220" s="15"/>
      <c r="G220" s="118"/>
      <c r="H220" s="126"/>
      <c r="I220" s="14"/>
      <c r="J220" s="48"/>
      <c r="K220" s="118"/>
      <c r="L220" s="118"/>
      <c r="M220" s="118"/>
      <c r="N220" s="127"/>
      <c r="O220" s="16"/>
      <c r="P220" s="147"/>
      <c r="Q220" s="147"/>
      <c r="R220" s="147"/>
      <c r="S220" s="147"/>
      <c r="T220" s="147"/>
      <c r="U220" s="217"/>
      <c r="V220" s="147"/>
      <c r="W220" s="147"/>
      <c r="X220" s="154"/>
      <c r="Y220" s="147"/>
      <c r="Z220" s="150"/>
      <c r="AA220" s="151"/>
      <c r="AB220" s="150"/>
      <c r="AC220" s="151"/>
      <c r="AD220" s="152"/>
      <c r="AE220" s="153"/>
      <c r="AF220" s="148"/>
      <c r="AG220" s="147"/>
      <c r="AH220" s="147"/>
    </row>
    <row r="221" spans="4:34" ht="18" hidden="1" customHeight="1">
      <c r="D221" s="13">
        <v>211</v>
      </c>
      <c r="E221" s="13" t="s">
        <v>596</v>
      </c>
      <c r="F221" s="15"/>
      <c r="G221" s="118"/>
      <c r="H221" s="126"/>
      <c r="I221" s="14"/>
      <c r="J221" s="48"/>
      <c r="K221" s="118"/>
      <c r="L221" s="118"/>
      <c r="M221" s="118"/>
      <c r="N221" s="127"/>
      <c r="O221" s="16"/>
      <c r="P221" s="147"/>
      <c r="Q221" s="147"/>
      <c r="R221" s="147"/>
      <c r="S221" s="147"/>
      <c r="T221" s="147"/>
      <c r="U221" s="217"/>
      <c r="V221" s="147"/>
      <c r="W221" s="147"/>
      <c r="X221" s="154"/>
      <c r="Y221" s="147"/>
      <c r="Z221" s="150"/>
      <c r="AA221" s="151"/>
      <c r="AB221" s="150"/>
      <c r="AC221" s="151"/>
      <c r="AD221" s="152"/>
      <c r="AE221" s="153"/>
      <c r="AF221" s="148"/>
      <c r="AG221" s="147"/>
      <c r="AH221" s="147"/>
    </row>
    <row r="222" spans="4:34" ht="18" hidden="1" customHeight="1">
      <c r="D222" s="15">
        <v>212</v>
      </c>
      <c r="E222" s="13" t="s">
        <v>597</v>
      </c>
      <c r="F222" s="15"/>
      <c r="G222" s="118"/>
      <c r="H222" s="126"/>
      <c r="I222" s="14"/>
      <c r="J222" s="48"/>
      <c r="K222" s="118"/>
      <c r="L222" s="118"/>
      <c r="M222" s="118"/>
      <c r="N222" s="127"/>
      <c r="O222" s="16"/>
      <c r="P222" s="147"/>
      <c r="Q222" s="147"/>
      <c r="R222" s="147"/>
      <c r="S222" s="147"/>
      <c r="T222" s="147"/>
      <c r="U222" s="217"/>
      <c r="V222" s="147"/>
      <c r="W222" s="147"/>
      <c r="X222" s="154"/>
      <c r="Y222" s="147"/>
      <c r="Z222" s="150"/>
      <c r="AA222" s="151"/>
      <c r="AB222" s="150"/>
      <c r="AC222" s="151"/>
      <c r="AD222" s="152"/>
      <c r="AE222" s="153"/>
      <c r="AF222" s="148"/>
      <c r="AG222" s="147"/>
      <c r="AH222" s="147"/>
    </row>
    <row r="223" spans="4:34" ht="18" hidden="1" customHeight="1">
      <c r="D223" s="13">
        <v>213</v>
      </c>
      <c r="E223" s="13" t="s">
        <v>598</v>
      </c>
      <c r="F223" s="15"/>
      <c r="G223" s="118"/>
      <c r="H223" s="126"/>
      <c r="I223" s="14"/>
      <c r="J223" s="48"/>
      <c r="K223" s="118"/>
      <c r="L223" s="118"/>
      <c r="M223" s="118"/>
      <c r="N223" s="127"/>
      <c r="O223" s="16"/>
      <c r="P223" s="147"/>
      <c r="Q223" s="147"/>
      <c r="R223" s="147"/>
      <c r="S223" s="147"/>
      <c r="T223" s="147"/>
      <c r="U223" s="217"/>
      <c r="V223" s="147"/>
      <c r="W223" s="147"/>
      <c r="X223" s="154"/>
      <c r="Y223" s="147"/>
      <c r="Z223" s="150"/>
      <c r="AA223" s="151"/>
      <c r="AB223" s="150"/>
      <c r="AC223" s="151"/>
      <c r="AD223" s="152"/>
      <c r="AE223" s="153"/>
      <c r="AF223" s="148"/>
      <c r="AG223" s="147"/>
      <c r="AH223" s="147"/>
    </row>
    <row r="224" spans="4:34" ht="18" hidden="1" customHeight="1">
      <c r="D224" s="15">
        <v>214</v>
      </c>
      <c r="E224" s="13" t="s">
        <v>599</v>
      </c>
      <c r="F224" s="15"/>
      <c r="G224" s="118"/>
      <c r="H224" s="126"/>
      <c r="I224" s="14"/>
      <c r="J224" s="48"/>
      <c r="K224" s="118"/>
      <c r="L224" s="118"/>
      <c r="M224" s="118"/>
      <c r="N224" s="127"/>
      <c r="O224" s="16"/>
      <c r="P224" s="147"/>
      <c r="Q224" s="147"/>
      <c r="R224" s="147"/>
      <c r="S224" s="147"/>
      <c r="T224" s="147"/>
      <c r="U224" s="217"/>
      <c r="V224" s="147"/>
      <c r="W224" s="147"/>
      <c r="X224" s="154"/>
      <c r="Y224" s="147"/>
      <c r="Z224" s="150"/>
      <c r="AA224" s="151"/>
      <c r="AB224" s="150"/>
      <c r="AC224" s="151"/>
      <c r="AD224" s="152"/>
      <c r="AE224" s="153"/>
      <c r="AF224" s="148"/>
      <c r="AG224" s="147"/>
      <c r="AH224" s="147"/>
    </row>
    <row r="225" spans="4:34" ht="18" hidden="1" customHeight="1">
      <c r="D225" s="13">
        <v>215</v>
      </c>
      <c r="E225" s="13" t="s">
        <v>600</v>
      </c>
      <c r="F225" s="15"/>
      <c r="G225" s="118"/>
      <c r="H225" s="126"/>
      <c r="I225" s="14"/>
      <c r="J225" s="48"/>
      <c r="K225" s="118"/>
      <c r="L225" s="118"/>
      <c r="M225" s="118"/>
      <c r="N225" s="127"/>
      <c r="O225" s="16"/>
      <c r="P225" s="147"/>
      <c r="Q225" s="147"/>
      <c r="R225" s="147"/>
      <c r="S225" s="147"/>
      <c r="T225" s="147"/>
      <c r="U225" s="217"/>
      <c r="V225" s="147"/>
      <c r="W225" s="147"/>
      <c r="X225" s="154"/>
      <c r="Y225" s="147"/>
      <c r="Z225" s="150"/>
      <c r="AA225" s="151"/>
      <c r="AB225" s="150"/>
      <c r="AC225" s="151"/>
      <c r="AD225" s="152"/>
      <c r="AE225" s="153"/>
      <c r="AF225" s="148"/>
      <c r="AG225" s="147"/>
      <c r="AH225" s="147"/>
    </row>
    <row r="226" spans="4:34" ht="18" hidden="1" customHeight="1">
      <c r="D226" s="15">
        <v>216</v>
      </c>
      <c r="E226" s="13" t="s">
        <v>601</v>
      </c>
      <c r="F226" s="15"/>
      <c r="G226" s="118"/>
      <c r="H226" s="126"/>
      <c r="I226" s="14"/>
      <c r="J226" s="48"/>
      <c r="K226" s="118"/>
      <c r="L226" s="118"/>
      <c r="M226" s="118"/>
      <c r="N226" s="127"/>
      <c r="O226" s="16"/>
      <c r="P226" s="147"/>
      <c r="Q226" s="147"/>
      <c r="R226" s="147"/>
      <c r="S226" s="147"/>
      <c r="T226" s="147"/>
      <c r="U226" s="217"/>
      <c r="V226" s="147"/>
      <c r="W226" s="147"/>
      <c r="X226" s="154"/>
      <c r="Y226" s="147"/>
      <c r="Z226" s="150"/>
      <c r="AA226" s="151"/>
      <c r="AB226" s="150"/>
      <c r="AC226" s="151"/>
      <c r="AD226" s="152"/>
      <c r="AE226" s="153"/>
      <c r="AF226" s="148"/>
      <c r="AG226" s="147"/>
      <c r="AH226" s="147"/>
    </row>
    <row r="227" spans="4:34" ht="18" hidden="1" customHeight="1">
      <c r="D227" s="13">
        <v>217</v>
      </c>
      <c r="E227" s="13" t="s">
        <v>602</v>
      </c>
      <c r="F227" s="15"/>
      <c r="G227" s="118"/>
      <c r="H227" s="126"/>
      <c r="I227" s="14"/>
      <c r="J227" s="48"/>
      <c r="K227" s="118"/>
      <c r="L227" s="118"/>
      <c r="M227" s="118"/>
      <c r="N227" s="127"/>
      <c r="O227" s="16"/>
      <c r="P227" s="147"/>
      <c r="Q227" s="147"/>
      <c r="R227" s="147"/>
      <c r="S227" s="147"/>
      <c r="T227" s="147"/>
      <c r="U227" s="217"/>
      <c r="V227" s="147"/>
      <c r="W227" s="147"/>
      <c r="X227" s="154"/>
      <c r="Y227" s="147"/>
      <c r="Z227" s="150"/>
      <c r="AA227" s="151"/>
      <c r="AB227" s="150"/>
      <c r="AC227" s="151"/>
      <c r="AD227" s="152"/>
      <c r="AE227" s="153"/>
      <c r="AF227" s="148"/>
      <c r="AG227" s="147"/>
      <c r="AH227" s="147"/>
    </row>
    <row r="228" spans="4:34" ht="18" hidden="1" customHeight="1">
      <c r="D228" s="15">
        <v>218</v>
      </c>
      <c r="E228" s="13" t="s">
        <v>603</v>
      </c>
      <c r="F228" s="15"/>
      <c r="G228" s="118"/>
      <c r="H228" s="126"/>
      <c r="I228" s="14"/>
      <c r="J228" s="48"/>
      <c r="K228" s="118"/>
      <c r="L228" s="118"/>
      <c r="M228" s="118"/>
      <c r="N228" s="127"/>
      <c r="O228" s="16"/>
      <c r="P228" s="147"/>
      <c r="Q228" s="147"/>
      <c r="R228" s="147"/>
      <c r="S228" s="147"/>
      <c r="T228" s="147"/>
      <c r="U228" s="217"/>
      <c r="V228" s="147"/>
      <c r="W228" s="147"/>
      <c r="X228" s="154"/>
      <c r="Y228" s="147"/>
      <c r="Z228" s="150"/>
      <c r="AA228" s="151"/>
      <c r="AB228" s="150"/>
      <c r="AC228" s="151"/>
      <c r="AD228" s="152"/>
      <c r="AE228" s="153"/>
      <c r="AF228" s="148"/>
      <c r="AG228" s="147"/>
      <c r="AH228" s="147"/>
    </row>
    <row r="229" spans="4:34" ht="18" hidden="1" customHeight="1">
      <c r="D229" s="13">
        <v>219</v>
      </c>
      <c r="E229" s="13" t="s">
        <v>604</v>
      </c>
      <c r="F229" s="15"/>
      <c r="G229" s="118"/>
      <c r="H229" s="126"/>
      <c r="I229" s="14"/>
      <c r="J229" s="48"/>
      <c r="K229" s="118"/>
      <c r="L229" s="118"/>
      <c r="M229" s="118"/>
      <c r="N229" s="127"/>
      <c r="O229" s="16"/>
      <c r="P229" s="147"/>
      <c r="Q229" s="147"/>
      <c r="R229" s="147"/>
      <c r="S229" s="147"/>
      <c r="T229" s="147"/>
      <c r="U229" s="217"/>
      <c r="V229" s="147"/>
      <c r="W229" s="147"/>
      <c r="X229" s="154"/>
      <c r="Y229" s="147"/>
      <c r="Z229" s="150"/>
      <c r="AA229" s="151"/>
      <c r="AB229" s="150"/>
      <c r="AC229" s="151"/>
      <c r="AD229" s="152"/>
      <c r="AE229" s="153"/>
      <c r="AF229" s="148"/>
      <c r="AG229" s="147"/>
      <c r="AH229" s="147"/>
    </row>
    <row r="230" spans="4:34" ht="18" hidden="1" customHeight="1">
      <c r="D230" s="15">
        <v>220</v>
      </c>
      <c r="E230" s="13" t="s">
        <v>605</v>
      </c>
      <c r="F230" s="15"/>
      <c r="G230" s="118"/>
      <c r="H230" s="126"/>
      <c r="I230" s="14"/>
      <c r="J230" s="48"/>
      <c r="K230" s="118"/>
      <c r="L230" s="118"/>
      <c r="M230" s="118"/>
      <c r="N230" s="127"/>
      <c r="O230" s="16"/>
      <c r="P230" s="147"/>
      <c r="Q230" s="147"/>
      <c r="R230" s="147"/>
      <c r="S230" s="147"/>
      <c r="T230" s="147"/>
      <c r="U230" s="217"/>
      <c r="V230" s="147"/>
      <c r="W230" s="147"/>
      <c r="X230" s="154"/>
      <c r="Y230" s="147"/>
      <c r="Z230" s="150"/>
      <c r="AA230" s="151"/>
      <c r="AB230" s="150"/>
      <c r="AC230" s="151"/>
      <c r="AD230" s="152"/>
      <c r="AE230" s="153"/>
      <c r="AF230" s="148"/>
      <c r="AG230" s="147"/>
      <c r="AH230" s="147"/>
    </row>
    <row r="231" spans="4:34" ht="18" hidden="1" customHeight="1">
      <c r="D231" s="13">
        <v>221</v>
      </c>
      <c r="E231" s="13" t="s">
        <v>606</v>
      </c>
      <c r="F231" s="15"/>
      <c r="G231" s="118"/>
      <c r="H231" s="126"/>
      <c r="I231" s="14"/>
      <c r="J231" s="48"/>
      <c r="K231" s="118"/>
      <c r="L231" s="118"/>
      <c r="M231" s="118"/>
      <c r="N231" s="127"/>
      <c r="O231" s="16"/>
      <c r="P231" s="147"/>
      <c r="Q231" s="147"/>
      <c r="R231" s="147"/>
      <c r="S231" s="147"/>
      <c r="T231" s="147"/>
      <c r="U231" s="217"/>
      <c r="V231" s="147"/>
      <c r="W231" s="147"/>
      <c r="X231" s="154"/>
      <c r="Y231" s="147"/>
      <c r="Z231" s="150"/>
      <c r="AA231" s="151"/>
      <c r="AB231" s="150"/>
      <c r="AC231" s="151"/>
      <c r="AD231" s="152"/>
      <c r="AE231" s="153"/>
      <c r="AF231" s="148"/>
      <c r="AG231" s="147"/>
      <c r="AH231" s="147"/>
    </row>
    <row r="232" spans="4:34" ht="18" hidden="1" customHeight="1">
      <c r="D232" s="15">
        <v>222</v>
      </c>
      <c r="E232" s="13" t="s">
        <v>607</v>
      </c>
      <c r="F232" s="15"/>
      <c r="G232" s="118"/>
      <c r="H232" s="126"/>
      <c r="I232" s="14"/>
      <c r="J232" s="48"/>
      <c r="K232" s="118"/>
      <c r="L232" s="118"/>
      <c r="M232" s="118"/>
      <c r="N232" s="127"/>
      <c r="O232" s="16"/>
      <c r="P232" s="147"/>
      <c r="Q232" s="147"/>
      <c r="R232" s="147"/>
      <c r="S232" s="147"/>
      <c r="T232" s="147"/>
      <c r="U232" s="217"/>
      <c r="V232" s="147"/>
      <c r="W232" s="147"/>
      <c r="X232" s="154"/>
      <c r="Y232" s="147"/>
      <c r="Z232" s="150"/>
      <c r="AA232" s="151"/>
      <c r="AB232" s="150"/>
      <c r="AC232" s="151"/>
      <c r="AD232" s="152"/>
      <c r="AE232" s="153"/>
      <c r="AF232" s="148"/>
      <c r="AG232" s="147"/>
      <c r="AH232" s="147"/>
    </row>
    <row r="233" spans="4:34" ht="18" hidden="1" customHeight="1">
      <c r="D233" s="13">
        <v>223</v>
      </c>
      <c r="E233" s="13" t="s">
        <v>608</v>
      </c>
      <c r="F233" s="15"/>
      <c r="G233" s="118"/>
      <c r="H233" s="126"/>
      <c r="I233" s="14"/>
      <c r="J233" s="48"/>
      <c r="K233" s="118"/>
      <c r="L233" s="118"/>
      <c r="M233" s="118"/>
      <c r="N233" s="127"/>
      <c r="O233" s="16"/>
      <c r="P233" s="147"/>
      <c r="Q233" s="147"/>
      <c r="R233" s="147"/>
      <c r="S233" s="147"/>
      <c r="T233" s="147"/>
      <c r="U233" s="217"/>
      <c r="V233" s="147"/>
      <c r="W233" s="147"/>
      <c r="X233" s="154"/>
      <c r="Y233" s="147"/>
      <c r="Z233" s="150"/>
      <c r="AA233" s="151"/>
      <c r="AB233" s="150"/>
      <c r="AC233" s="151"/>
      <c r="AD233" s="152"/>
      <c r="AE233" s="153"/>
      <c r="AF233" s="148"/>
      <c r="AG233" s="147"/>
      <c r="AH233" s="147"/>
    </row>
    <row r="234" spans="4:34" ht="18" hidden="1" customHeight="1">
      <c r="D234" s="15">
        <v>224</v>
      </c>
      <c r="E234" s="13" t="s">
        <v>609</v>
      </c>
      <c r="F234" s="15"/>
      <c r="G234" s="118"/>
      <c r="H234" s="126"/>
      <c r="I234" s="14"/>
      <c r="J234" s="48"/>
      <c r="K234" s="118"/>
      <c r="L234" s="118"/>
      <c r="M234" s="118"/>
      <c r="N234" s="127"/>
      <c r="O234" s="16"/>
      <c r="P234" s="147"/>
      <c r="Q234" s="147"/>
      <c r="R234" s="147"/>
      <c r="S234" s="147"/>
      <c r="T234" s="147"/>
      <c r="U234" s="217"/>
      <c r="V234" s="147"/>
      <c r="W234" s="147"/>
      <c r="X234" s="154"/>
      <c r="Y234" s="147"/>
      <c r="Z234" s="150"/>
      <c r="AA234" s="151"/>
      <c r="AB234" s="150"/>
      <c r="AC234" s="151"/>
      <c r="AD234" s="152"/>
      <c r="AE234" s="153"/>
      <c r="AF234" s="148"/>
      <c r="AG234" s="147"/>
      <c r="AH234" s="147"/>
    </row>
    <row r="235" spans="4:34" ht="18" hidden="1" customHeight="1">
      <c r="D235" s="13">
        <v>225</v>
      </c>
      <c r="E235" s="13" t="s">
        <v>610</v>
      </c>
      <c r="F235" s="15"/>
      <c r="G235" s="118"/>
      <c r="H235" s="126"/>
      <c r="I235" s="14"/>
      <c r="J235" s="48"/>
      <c r="K235" s="118"/>
      <c r="L235" s="118"/>
      <c r="M235" s="118"/>
      <c r="N235" s="127"/>
      <c r="O235" s="16"/>
      <c r="P235" s="147"/>
      <c r="Q235" s="147"/>
      <c r="R235" s="147"/>
      <c r="S235" s="147"/>
      <c r="T235" s="147"/>
      <c r="U235" s="217"/>
      <c r="V235" s="147"/>
      <c r="W235" s="147"/>
      <c r="X235" s="154"/>
      <c r="Y235" s="147"/>
      <c r="Z235" s="150"/>
      <c r="AA235" s="151"/>
      <c r="AB235" s="150"/>
      <c r="AC235" s="151"/>
      <c r="AD235" s="152"/>
      <c r="AE235" s="153"/>
      <c r="AF235" s="148"/>
      <c r="AG235" s="147"/>
      <c r="AH235" s="147"/>
    </row>
    <row r="236" spans="4:34" ht="18" hidden="1" customHeight="1">
      <c r="D236" s="15">
        <v>226</v>
      </c>
      <c r="E236" s="13" t="s">
        <v>611</v>
      </c>
      <c r="F236" s="15"/>
      <c r="G236" s="118"/>
      <c r="H236" s="126"/>
      <c r="I236" s="14"/>
      <c r="J236" s="48"/>
      <c r="K236" s="118"/>
      <c r="L236" s="118"/>
      <c r="M236" s="118"/>
      <c r="N236" s="127"/>
      <c r="O236" s="16"/>
      <c r="P236" s="147"/>
      <c r="Q236" s="147"/>
      <c r="R236" s="147"/>
      <c r="S236" s="147"/>
      <c r="T236" s="147"/>
      <c r="U236" s="217"/>
      <c r="V236" s="147"/>
      <c r="W236" s="147"/>
      <c r="X236" s="154"/>
      <c r="Y236" s="147"/>
      <c r="Z236" s="150"/>
      <c r="AA236" s="151"/>
      <c r="AB236" s="150"/>
      <c r="AC236" s="151"/>
      <c r="AD236" s="152"/>
      <c r="AE236" s="153"/>
      <c r="AF236" s="148"/>
      <c r="AG236" s="147"/>
      <c r="AH236" s="147"/>
    </row>
    <row r="237" spans="4:34" ht="18" hidden="1" customHeight="1">
      <c r="D237" s="13">
        <v>227</v>
      </c>
      <c r="E237" s="13" t="s">
        <v>612</v>
      </c>
      <c r="F237" s="15"/>
      <c r="G237" s="118"/>
      <c r="H237" s="126"/>
      <c r="I237" s="14"/>
      <c r="J237" s="48"/>
      <c r="K237" s="118"/>
      <c r="L237" s="118"/>
      <c r="M237" s="118"/>
      <c r="N237" s="127"/>
      <c r="O237" s="16"/>
      <c r="P237" s="147"/>
      <c r="Q237" s="147"/>
      <c r="R237" s="147"/>
      <c r="S237" s="147"/>
      <c r="T237" s="147"/>
      <c r="U237" s="217"/>
      <c r="V237" s="147"/>
      <c r="W237" s="147"/>
      <c r="X237" s="154"/>
      <c r="Y237" s="147"/>
      <c r="Z237" s="150"/>
      <c r="AA237" s="151"/>
      <c r="AB237" s="150"/>
      <c r="AC237" s="151"/>
      <c r="AD237" s="152"/>
      <c r="AE237" s="153"/>
      <c r="AF237" s="148"/>
      <c r="AG237" s="147"/>
      <c r="AH237" s="147"/>
    </row>
    <row r="238" spans="4:34" ht="18" hidden="1" customHeight="1">
      <c r="D238" s="15">
        <v>228</v>
      </c>
      <c r="E238" s="13" t="s">
        <v>613</v>
      </c>
      <c r="F238" s="15"/>
      <c r="G238" s="118"/>
      <c r="H238" s="126"/>
      <c r="I238" s="14"/>
      <c r="J238" s="48"/>
      <c r="K238" s="118"/>
      <c r="L238" s="118"/>
      <c r="M238" s="118"/>
      <c r="N238" s="127"/>
      <c r="O238" s="16"/>
      <c r="P238" s="147"/>
      <c r="Q238" s="147"/>
      <c r="R238" s="147"/>
      <c r="S238" s="147"/>
      <c r="T238" s="147"/>
      <c r="U238" s="217"/>
      <c r="V238" s="147"/>
      <c r="W238" s="147"/>
      <c r="X238" s="154"/>
      <c r="Y238" s="147"/>
      <c r="Z238" s="150"/>
      <c r="AA238" s="151"/>
      <c r="AB238" s="150"/>
      <c r="AC238" s="151"/>
      <c r="AD238" s="152"/>
      <c r="AE238" s="153"/>
      <c r="AF238" s="148"/>
      <c r="AG238" s="147"/>
      <c r="AH238" s="147"/>
    </row>
    <row r="239" spans="4:34" ht="18" hidden="1" customHeight="1">
      <c r="D239" s="13">
        <v>229</v>
      </c>
      <c r="E239" s="13" t="s">
        <v>614</v>
      </c>
      <c r="F239" s="15"/>
      <c r="G239" s="118"/>
      <c r="H239" s="126"/>
      <c r="I239" s="14"/>
      <c r="J239" s="48"/>
      <c r="K239" s="118"/>
      <c r="L239" s="118"/>
      <c r="M239" s="118"/>
      <c r="N239" s="127"/>
      <c r="O239" s="16"/>
      <c r="P239" s="147"/>
      <c r="Q239" s="147"/>
      <c r="R239" s="147"/>
      <c r="S239" s="147"/>
      <c r="T239" s="147"/>
      <c r="U239" s="217"/>
      <c r="V239" s="147"/>
      <c r="W239" s="147"/>
      <c r="X239" s="154"/>
      <c r="Y239" s="147"/>
      <c r="Z239" s="150"/>
      <c r="AA239" s="151"/>
      <c r="AB239" s="150"/>
      <c r="AC239" s="151"/>
      <c r="AD239" s="152"/>
      <c r="AE239" s="153"/>
      <c r="AF239" s="148"/>
      <c r="AG239" s="147"/>
      <c r="AH239" s="147"/>
    </row>
    <row r="240" spans="4:34" ht="18" hidden="1" customHeight="1">
      <c r="D240" s="15">
        <v>230</v>
      </c>
      <c r="E240" s="13" t="s">
        <v>615</v>
      </c>
      <c r="F240" s="15"/>
      <c r="G240" s="118"/>
      <c r="H240" s="126"/>
      <c r="I240" s="14"/>
      <c r="J240" s="48"/>
      <c r="K240" s="118"/>
      <c r="L240" s="118"/>
      <c r="M240" s="118"/>
      <c r="N240" s="127"/>
      <c r="O240" s="16"/>
      <c r="P240" s="147"/>
      <c r="Q240" s="147"/>
      <c r="R240" s="147"/>
      <c r="S240" s="147"/>
      <c r="T240" s="147"/>
      <c r="U240" s="217"/>
      <c r="V240" s="147"/>
      <c r="W240" s="147"/>
      <c r="X240" s="154"/>
      <c r="Y240" s="147"/>
      <c r="Z240" s="150"/>
      <c r="AA240" s="151"/>
      <c r="AB240" s="150"/>
      <c r="AC240" s="151"/>
      <c r="AD240" s="152"/>
      <c r="AE240" s="153"/>
      <c r="AF240" s="148"/>
      <c r="AG240" s="147"/>
      <c r="AH240" s="147"/>
    </row>
    <row r="241" spans="4:34" ht="18" hidden="1" customHeight="1">
      <c r="D241" s="13">
        <v>231</v>
      </c>
      <c r="E241" s="13" t="s">
        <v>616</v>
      </c>
      <c r="F241" s="15"/>
      <c r="G241" s="118"/>
      <c r="H241" s="126"/>
      <c r="I241" s="14"/>
      <c r="J241" s="48"/>
      <c r="K241" s="118"/>
      <c r="L241" s="118"/>
      <c r="M241" s="118"/>
      <c r="N241" s="127"/>
      <c r="O241" s="16"/>
      <c r="P241" s="147"/>
      <c r="Q241" s="147"/>
      <c r="R241" s="147"/>
      <c r="S241" s="147"/>
      <c r="T241" s="147"/>
      <c r="U241" s="217"/>
      <c r="V241" s="147"/>
      <c r="W241" s="147"/>
      <c r="X241" s="154"/>
      <c r="Y241" s="147"/>
      <c r="Z241" s="150"/>
      <c r="AA241" s="151"/>
      <c r="AB241" s="150"/>
      <c r="AC241" s="151"/>
      <c r="AD241" s="152"/>
      <c r="AE241" s="153"/>
      <c r="AF241" s="148"/>
      <c r="AG241" s="147"/>
      <c r="AH241" s="147"/>
    </row>
    <row r="242" spans="4:34" ht="18" hidden="1" customHeight="1">
      <c r="D242" s="15">
        <v>232</v>
      </c>
      <c r="E242" s="13" t="s">
        <v>617</v>
      </c>
      <c r="F242" s="15"/>
      <c r="G242" s="118"/>
      <c r="H242" s="126"/>
      <c r="I242" s="14"/>
      <c r="J242" s="48"/>
      <c r="K242" s="118"/>
      <c r="L242" s="118"/>
      <c r="M242" s="118"/>
      <c r="N242" s="127"/>
      <c r="O242" s="16"/>
      <c r="P242" s="147"/>
      <c r="Q242" s="147"/>
      <c r="R242" s="147"/>
      <c r="S242" s="147"/>
      <c r="T242" s="147"/>
      <c r="U242" s="217"/>
      <c r="V242" s="147"/>
      <c r="W242" s="147"/>
      <c r="X242" s="154"/>
      <c r="Y242" s="147"/>
      <c r="Z242" s="150"/>
      <c r="AA242" s="151"/>
      <c r="AB242" s="150"/>
      <c r="AC242" s="151"/>
      <c r="AD242" s="152"/>
      <c r="AE242" s="153"/>
      <c r="AF242" s="148"/>
      <c r="AG242" s="147"/>
      <c r="AH242" s="147"/>
    </row>
    <row r="243" spans="4:34" ht="18" hidden="1" customHeight="1">
      <c r="D243" s="13">
        <v>233</v>
      </c>
      <c r="E243" s="13" t="s">
        <v>618</v>
      </c>
      <c r="F243" s="15"/>
      <c r="G243" s="118"/>
      <c r="H243" s="126"/>
      <c r="I243" s="14"/>
      <c r="J243" s="48"/>
      <c r="K243" s="118"/>
      <c r="L243" s="118"/>
      <c r="M243" s="118"/>
      <c r="N243" s="127"/>
      <c r="O243" s="16"/>
      <c r="P243" s="147"/>
      <c r="Q243" s="147"/>
      <c r="R243" s="147"/>
      <c r="S243" s="147"/>
      <c r="T243" s="147"/>
      <c r="U243" s="217"/>
      <c r="V243" s="147"/>
      <c r="W243" s="147"/>
      <c r="X243" s="154"/>
      <c r="Y243" s="147"/>
      <c r="Z243" s="150"/>
      <c r="AA243" s="151"/>
      <c r="AB243" s="150"/>
      <c r="AC243" s="151"/>
      <c r="AD243" s="152"/>
      <c r="AE243" s="153"/>
      <c r="AF243" s="148"/>
      <c r="AG243" s="147"/>
      <c r="AH243" s="147"/>
    </row>
    <row r="244" spans="4:34" ht="18" hidden="1" customHeight="1">
      <c r="D244" s="15">
        <v>234</v>
      </c>
      <c r="E244" s="13" t="s">
        <v>619</v>
      </c>
      <c r="F244" s="15"/>
      <c r="G244" s="118"/>
      <c r="H244" s="126"/>
      <c r="I244" s="14"/>
      <c r="J244" s="48"/>
      <c r="K244" s="118"/>
      <c r="L244" s="118"/>
      <c r="M244" s="118"/>
      <c r="N244" s="127"/>
      <c r="O244" s="16"/>
      <c r="P244" s="147"/>
      <c r="Q244" s="147"/>
      <c r="R244" s="147"/>
      <c r="S244" s="147"/>
      <c r="T244" s="147"/>
      <c r="U244" s="217"/>
      <c r="V244" s="147"/>
      <c r="W244" s="147"/>
      <c r="X244" s="154"/>
      <c r="Y244" s="147"/>
      <c r="Z244" s="150"/>
      <c r="AA244" s="151"/>
      <c r="AB244" s="150"/>
      <c r="AC244" s="151"/>
      <c r="AD244" s="152"/>
      <c r="AE244" s="153"/>
      <c r="AF244" s="148"/>
      <c r="AG244" s="147"/>
      <c r="AH244" s="147"/>
    </row>
    <row r="245" spans="4:34" ht="18" hidden="1" customHeight="1">
      <c r="D245" s="13">
        <v>235</v>
      </c>
      <c r="E245" s="13" t="s">
        <v>620</v>
      </c>
      <c r="F245" s="15"/>
      <c r="G245" s="118"/>
      <c r="H245" s="126"/>
      <c r="I245" s="14"/>
      <c r="J245" s="48"/>
      <c r="K245" s="118"/>
      <c r="L245" s="118"/>
      <c r="M245" s="118"/>
      <c r="N245" s="127"/>
      <c r="O245" s="16"/>
      <c r="P245" s="147"/>
      <c r="Q245" s="147"/>
      <c r="R245" s="147"/>
      <c r="S245" s="147"/>
      <c r="T245" s="147"/>
      <c r="U245" s="217"/>
      <c r="V245" s="147"/>
      <c r="W245" s="147"/>
      <c r="X245" s="154"/>
      <c r="Y245" s="147"/>
      <c r="Z245" s="150"/>
      <c r="AA245" s="151"/>
      <c r="AB245" s="150"/>
      <c r="AC245" s="151"/>
      <c r="AD245" s="152"/>
      <c r="AE245" s="153"/>
      <c r="AF245" s="148"/>
      <c r="AG245" s="147"/>
      <c r="AH245" s="147"/>
    </row>
    <row r="246" spans="4:34" ht="18" hidden="1" customHeight="1">
      <c r="D246" s="15">
        <v>236</v>
      </c>
      <c r="E246" s="13" t="s">
        <v>621</v>
      </c>
      <c r="F246" s="15"/>
      <c r="G246" s="118"/>
      <c r="H246" s="126"/>
      <c r="I246" s="14"/>
      <c r="J246" s="48"/>
      <c r="K246" s="118"/>
      <c r="L246" s="118"/>
      <c r="M246" s="118"/>
      <c r="N246" s="127"/>
      <c r="O246" s="127"/>
      <c r="P246" s="147"/>
      <c r="Q246" s="147"/>
      <c r="R246" s="147"/>
      <c r="S246" s="147"/>
      <c r="T246" s="147"/>
      <c r="U246" s="217"/>
      <c r="V246" s="147"/>
      <c r="W246" s="147"/>
      <c r="X246" s="154"/>
      <c r="Y246" s="147"/>
      <c r="Z246" s="150"/>
      <c r="AA246" s="151"/>
      <c r="AB246" s="150"/>
      <c r="AC246" s="151"/>
      <c r="AD246" s="152"/>
      <c r="AE246" s="153"/>
      <c r="AF246" s="148"/>
      <c r="AG246" s="147"/>
      <c r="AH246" s="147"/>
    </row>
    <row r="247" spans="4:34" ht="18" hidden="1" customHeight="1">
      <c r="D247" s="13">
        <v>237</v>
      </c>
      <c r="E247" s="13" t="s">
        <v>622</v>
      </c>
      <c r="F247" s="15"/>
      <c r="G247" s="118"/>
      <c r="H247" s="126"/>
      <c r="I247" s="14"/>
      <c r="J247" s="48"/>
      <c r="K247" s="118"/>
      <c r="L247" s="118"/>
      <c r="M247" s="118"/>
      <c r="N247" s="127"/>
      <c r="O247" s="16"/>
      <c r="P247" s="147"/>
      <c r="Q247" s="147"/>
      <c r="R247" s="147"/>
      <c r="S247" s="147"/>
      <c r="T247" s="147"/>
      <c r="U247" s="217"/>
      <c r="V247" s="147"/>
      <c r="W247" s="147"/>
      <c r="X247" s="154"/>
      <c r="Y247" s="147"/>
      <c r="Z247" s="150"/>
      <c r="AA247" s="151"/>
      <c r="AB247" s="150"/>
      <c r="AC247" s="151"/>
      <c r="AD247" s="152"/>
      <c r="AE247" s="153"/>
      <c r="AF247" s="148"/>
      <c r="AG247" s="147"/>
      <c r="AH247" s="147"/>
    </row>
    <row r="248" spans="4:34" ht="18" hidden="1" customHeight="1">
      <c r="D248" s="15">
        <v>238</v>
      </c>
      <c r="E248" s="13" t="s">
        <v>623</v>
      </c>
      <c r="F248" s="15"/>
      <c r="G248" s="118"/>
      <c r="H248" s="126"/>
      <c r="I248" s="14"/>
      <c r="J248" s="48"/>
      <c r="K248" s="118"/>
      <c r="L248" s="118"/>
      <c r="M248" s="118"/>
      <c r="N248" s="127"/>
      <c r="O248" s="16"/>
      <c r="P248" s="147"/>
      <c r="Q248" s="147"/>
      <c r="R248" s="147"/>
      <c r="S248" s="147"/>
      <c r="T248" s="147"/>
      <c r="U248" s="217"/>
      <c r="V248" s="147"/>
      <c r="W248" s="147"/>
      <c r="X248" s="154"/>
      <c r="Y248" s="147"/>
      <c r="Z248" s="150"/>
      <c r="AA248" s="151"/>
      <c r="AB248" s="150"/>
      <c r="AC248" s="151"/>
      <c r="AD248" s="152"/>
      <c r="AE248" s="153"/>
      <c r="AF248" s="148"/>
      <c r="AG248" s="147"/>
      <c r="AH248" s="147"/>
    </row>
    <row r="249" spans="4:34" ht="18" hidden="1" customHeight="1">
      <c r="D249" s="13">
        <v>239</v>
      </c>
      <c r="E249" s="13" t="s">
        <v>624</v>
      </c>
      <c r="F249" s="15"/>
      <c r="G249" s="118"/>
      <c r="H249" s="126"/>
      <c r="I249" s="14"/>
      <c r="J249" s="48"/>
      <c r="K249" s="118"/>
      <c r="L249" s="118"/>
      <c r="M249" s="118"/>
      <c r="N249" s="127"/>
      <c r="O249" s="16"/>
      <c r="P249" s="147"/>
      <c r="Q249" s="147"/>
      <c r="R249" s="147"/>
      <c r="S249" s="147"/>
      <c r="T249" s="147"/>
      <c r="U249" s="217"/>
      <c r="V249" s="147"/>
      <c r="W249" s="147"/>
      <c r="X249" s="154"/>
      <c r="Y249" s="147"/>
      <c r="Z249" s="150"/>
      <c r="AA249" s="151"/>
      <c r="AB249" s="150"/>
      <c r="AC249" s="151"/>
      <c r="AD249" s="152"/>
      <c r="AE249" s="153"/>
      <c r="AF249" s="148"/>
      <c r="AG249" s="147"/>
      <c r="AH249" s="147"/>
    </row>
    <row r="250" spans="4:34" ht="18" hidden="1" customHeight="1">
      <c r="D250" s="15">
        <v>240</v>
      </c>
      <c r="E250" s="13" t="s">
        <v>625</v>
      </c>
      <c r="F250" s="15"/>
      <c r="G250" s="118"/>
      <c r="H250" s="126"/>
      <c r="I250" s="14"/>
      <c r="J250" s="48"/>
      <c r="K250" s="118"/>
      <c r="L250" s="118"/>
      <c r="M250" s="118"/>
      <c r="N250" s="127"/>
      <c r="O250" s="16"/>
      <c r="P250" s="147"/>
      <c r="Q250" s="147"/>
      <c r="R250" s="147"/>
      <c r="S250" s="147"/>
      <c r="T250" s="147"/>
      <c r="U250" s="217"/>
      <c r="V250" s="147"/>
      <c r="W250" s="147"/>
      <c r="X250" s="154"/>
      <c r="Y250" s="147"/>
      <c r="Z250" s="150"/>
      <c r="AA250" s="151"/>
      <c r="AB250" s="150"/>
      <c r="AC250" s="151"/>
      <c r="AD250" s="152"/>
      <c r="AE250" s="153"/>
      <c r="AF250" s="148"/>
      <c r="AG250" s="147"/>
      <c r="AH250" s="147"/>
    </row>
    <row r="251" spans="4:34" ht="18" hidden="1" customHeight="1">
      <c r="D251" s="13">
        <v>241</v>
      </c>
      <c r="E251" s="13" t="s">
        <v>626</v>
      </c>
      <c r="F251" s="15"/>
      <c r="G251" s="118"/>
      <c r="H251" s="126"/>
      <c r="I251" s="14"/>
      <c r="J251" s="48"/>
      <c r="K251" s="118"/>
      <c r="L251" s="118"/>
      <c r="M251" s="118"/>
      <c r="N251" s="127"/>
      <c r="O251" s="16"/>
      <c r="P251" s="147"/>
      <c r="Q251" s="147"/>
      <c r="R251" s="147"/>
      <c r="S251" s="147"/>
      <c r="T251" s="147"/>
      <c r="U251" s="217"/>
      <c r="V251" s="147"/>
      <c r="W251" s="147"/>
      <c r="X251" s="154"/>
      <c r="Y251" s="147"/>
      <c r="Z251" s="150"/>
      <c r="AA251" s="151"/>
      <c r="AB251" s="150"/>
      <c r="AC251" s="151"/>
      <c r="AD251" s="152"/>
      <c r="AE251" s="153"/>
      <c r="AF251" s="148"/>
      <c r="AG251" s="147"/>
      <c r="AH251" s="147"/>
    </row>
    <row r="252" spans="4:34" ht="18" hidden="1" customHeight="1">
      <c r="D252" s="15">
        <v>242</v>
      </c>
      <c r="E252" s="13" t="s">
        <v>627</v>
      </c>
      <c r="F252" s="15"/>
      <c r="G252" s="118"/>
      <c r="H252" s="126"/>
      <c r="I252" s="14"/>
      <c r="J252" s="48"/>
      <c r="K252" s="118"/>
      <c r="L252" s="118"/>
      <c r="M252" s="118"/>
      <c r="N252" s="127"/>
      <c r="O252" s="16"/>
      <c r="P252" s="147"/>
      <c r="Q252" s="147"/>
      <c r="R252" s="147"/>
      <c r="S252" s="147"/>
      <c r="T252" s="147"/>
      <c r="U252" s="217"/>
      <c r="V252" s="147"/>
      <c r="W252" s="147"/>
      <c r="X252" s="154"/>
      <c r="Y252" s="147"/>
      <c r="Z252" s="150"/>
      <c r="AA252" s="151"/>
      <c r="AB252" s="150"/>
      <c r="AC252" s="151"/>
      <c r="AD252" s="152"/>
      <c r="AE252" s="153"/>
      <c r="AF252" s="148"/>
      <c r="AG252" s="147"/>
      <c r="AH252" s="147"/>
    </row>
    <row r="253" spans="4:34" ht="18" hidden="1" customHeight="1">
      <c r="D253" s="13">
        <v>243</v>
      </c>
      <c r="E253" s="13" t="s">
        <v>628</v>
      </c>
      <c r="F253" s="15"/>
      <c r="G253" s="118"/>
      <c r="H253" s="126"/>
      <c r="I253" s="14"/>
      <c r="J253" s="48"/>
      <c r="K253" s="118"/>
      <c r="L253" s="118"/>
      <c r="M253" s="118"/>
      <c r="N253" s="127"/>
      <c r="O253" s="16"/>
      <c r="P253" s="147"/>
      <c r="Q253" s="147"/>
      <c r="R253" s="147"/>
      <c r="S253" s="147"/>
      <c r="T253" s="147"/>
      <c r="U253" s="217"/>
      <c r="V253" s="147"/>
      <c r="W253" s="147"/>
      <c r="X253" s="154"/>
      <c r="Y253" s="147"/>
      <c r="Z253" s="150"/>
      <c r="AA253" s="151"/>
      <c r="AB253" s="150"/>
      <c r="AC253" s="151"/>
      <c r="AD253" s="152"/>
      <c r="AE253" s="153"/>
      <c r="AF253" s="148"/>
      <c r="AG253" s="147"/>
      <c r="AH253" s="147"/>
    </row>
    <row r="254" spans="4:34" ht="18" hidden="1" customHeight="1">
      <c r="D254" s="15">
        <v>244</v>
      </c>
      <c r="E254" s="13" t="s">
        <v>629</v>
      </c>
      <c r="F254" s="15"/>
      <c r="G254" s="118"/>
      <c r="H254" s="126"/>
      <c r="I254" s="14"/>
      <c r="J254" s="48"/>
      <c r="K254" s="118"/>
      <c r="L254" s="118"/>
      <c r="M254" s="118"/>
      <c r="N254" s="127"/>
      <c r="O254" s="16"/>
      <c r="P254" s="147"/>
      <c r="Q254" s="147"/>
      <c r="R254" s="147"/>
      <c r="S254" s="147"/>
      <c r="T254" s="147"/>
      <c r="U254" s="217"/>
      <c r="V254" s="147"/>
      <c r="W254" s="147"/>
      <c r="X254" s="154"/>
      <c r="Y254" s="147"/>
      <c r="Z254" s="150"/>
      <c r="AA254" s="151"/>
      <c r="AB254" s="150"/>
      <c r="AC254" s="151"/>
      <c r="AD254" s="152"/>
      <c r="AE254" s="153"/>
      <c r="AF254" s="148"/>
      <c r="AG254" s="147"/>
      <c r="AH254" s="147"/>
    </row>
    <row r="255" spans="4:34" ht="18" hidden="1" customHeight="1">
      <c r="D255" s="13">
        <v>245</v>
      </c>
      <c r="E255" s="13" t="s">
        <v>630</v>
      </c>
      <c r="F255" s="15"/>
      <c r="G255" s="118"/>
      <c r="H255" s="126"/>
      <c r="I255" s="14"/>
      <c r="J255" s="48"/>
      <c r="K255" s="118"/>
      <c r="L255" s="118"/>
      <c r="M255" s="118"/>
      <c r="N255" s="127"/>
      <c r="O255" s="16"/>
      <c r="P255" s="147"/>
      <c r="Q255" s="147"/>
      <c r="R255" s="147"/>
      <c r="S255" s="147"/>
      <c r="T255" s="147"/>
      <c r="U255" s="217"/>
      <c r="V255" s="147"/>
      <c r="W255" s="147"/>
      <c r="X255" s="154"/>
      <c r="Y255" s="147"/>
      <c r="Z255" s="150"/>
      <c r="AA255" s="151"/>
      <c r="AB255" s="150"/>
      <c r="AC255" s="151"/>
      <c r="AD255" s="152"/>
      <c r="AE255" s="153"/>
      <c r="AF255" s="148"/>
      <c r="AG255" s="147"/>
      <c r="AH255" s="147"/>
    </row>
    <row r="256" spans="4:34" ht="18" hidden="1" customHeight="1">
      <c r="D256" s="15">
        <v>246</v>
      </c>
      <c r="E256" s="13" t="s">
        <v>631</v>
      </c>
      <c r="F256" s="15"/>
      <c r="G256" s="118"/>
      <c r="H256" s="126"/>
      <c r="I256" s="14"/>
      <c r="J256" s="48"/>
      <c r="K256" s="118"/>
      <c r="L256" s="118"/>
      <c r="M256" s="118"/>
      <c r="N256" s="127"/>
      <c r="O256" s="16"/>
      <c r="P256" s="147"/>
      <c r="Q256" s="147"/>
      <c r="R256" s="147"/>
      <c r="S256" s="147"/>
      <c r="T256" s="147"/>
      <c r="U256" s="217"/>
      <c r="V256" s="147"/>
      <c r="W256" s="147"/>
      <c r="X256" s="154"/>
      <c r="Y256" s="147"/>
      <c r="Z256" s="150"/>
      <c r="AA256" s="151"/>
      <c r="AB256" s="150"/>
      <c r="AC256" s="151"/>
      <c r="AD256" s="152"/>
      <c r="AE256" s="153"/>
      <c r="AF256" s="148"/>
      <c r="AG256" s="147"/>
      <c r="AH256" s="147"/>
    </row>
    <row r="257" spans="4:34" ht="18" hidden="1" customHeight="1">
      <c r="D257" s="13">
        <v>247</v>
      </c>
      <c r="E257" s="13" t="s">
        <v>632</v>
      </c>
      <c r="F257" s="15"/>
      <c r="G257" s="118"/>
      <c r="H257" s="126"/>
      <c r="I257" s="14"/>
      <c r="J257" s="48"/>
      <c r="K257" s="118"/>
      <c r="L257" s="118"/>
      <c r="M257" s="118"/>
      <c r="N257" s="127"/>
      <c r="O257" s="16"/>
      <c r="P257" s="147"/>
      <c r="Q257" s="147"/>
      <c r="R257" s="147"/>
      <c r="S257" s="147"/>
      <c r="T257" s="147"/>
      <c r="U257" s="217"/>
      <c r="V257" s="147"/>
      <c r="W257" s="147"/>
      <c r="X257" s="154"/>
      <c r="Y257" s="147"/>
      <c r="Z257" s="150"/>
      <c r="AA257" s="151"/>
      <c r="AB257" s="150"/>
      <c r="AC257" s="151"/>
      <c r="AD257" s="152"/>
      <c r="AE257" s="153"/>
      <c r="AF257" s="148"/>
      <c r="AG257" s="147"/>
      <c r="AH257" s="147"/>
    </row>
    <row r="258" spans="4:34" ht="18" hidden="1" customHeight="1">
      <c r="D258" s="15">
        <v>248</v>
      </c>
      <c r="E258" s="13" t="s">
        <v>633</v>
      </c>
      <c r="F258" s="15"/>
      <c r="G258" s="118"/>
      <c r="H258" s="126"/>
      <c r="I258" s="14"/>
      <c r="J258" s="48"/>
      <c r="K258" s="118"/>
      <c r="L258" s="118"/>
      <c r="M258" s="118"/>
      <c r="N258" s="127"/>
      <c r="O258" s="16"/>
      <c r="P258" s="147"/>
      <c r="Q258" s="147"/>
      <c r="R258" s="147"/>
      <c r="S258" s="147"/>
      <c r="T258" s="147"/>
      <c r="U258" s="217"/>
      <c r="V258" s="147"/>
      <c r="W258" s="147"/>
      <c r="X258" s="154"/>
      <c r="Y258" s="147"/>
      <c r="Z258" s="150"/>
      <c r="AA258" s="151"/>
      <c r="AB258" s="150"/>
      <c r="AC258" s="151"/>
      <c r="AD258" s="152"/>
      <c r="AE258" s="153"/>
      <c r="AF258" s="148"/>
      <c r="AG258" s="147"/>
      <c r="AH258" s="147"/>
    </row>
    <row r="259" spans="4:34" ht="18" hidden="1" customHeight="1">
      <c r="D259" s="13">
        <v>249</v>
      </c>
      <c r="E259" s="13" t="s">
        <v>634</v>
      </c>
      <c r="F259" s="15"/>
      <c r="G259" s="118"/>
      <c r="H259" s="126"/>
      <c r="I259" s="14"/>
      <c r="J259" s="48"/>
      <c r="K259" s="118"/>
      <c r="L259" s="118"/>
      <c r="M259" s="118"/>
      <c r="N259" s="127"/>
      <c r="O259" s="16"/>
      <c r="P259" s="147"/>
      <c r="Q259" s="147"/>
      <c r="R259" s="147"/>
      <c r="S259" s="147"/>
      <c r="T259" s="147"/>
      <c r="U259" s="217"/>
      <c r="V259" s="147"/>
      <c r="W259" s="147"/>
      <c r="X259" s="154"/>
      <c r="Y259" s="147"/>
      <c r="Z259" s="150"/>
      <c r="AA259" s="151"/>
      <c r="AB259" s="150"/>
      <c r="AC259" s="151"/>
      <c r="AD259" s="152"/>
      <c r="AE259" s="153"/>
      <c r="AF259" s="148"/>
      <c r="AG259" s="147"/>
      <c r="AH259" s="147"/>
    </row>
    <row r="260" spans="4:34" ht="18" hidden="1" customHeight="1">
      <c r="D260" s="15">
        <v>250</v>
      </c>
      <c r="E260" s="13" t="s">
        <v>635</v>
      </c>
      <c r="F260" s="15"/>
      <c r="G260" s="118"/>
      <c r="H260" s="126"/>
      <c r="I260" s="14"/>
      <c r="J260" s="48"/>
      <c r="K260" s="118"/>
      <c r="L260" s="118"/>
      <c r="M260" s="118"/>
      <c r="N260" s="127"/>
      <c r="O260" s="16"/>
      <c r="P260" s="147"/>
      <c r="Q260" s="147"/>
      <c r="R260" s="147"/>
      <c r="S260" s="147"/>
      <c r="T260" s="147"/>
      <c r="U260" s="217"/>
      <c r="V260" s="147"/>
      <c r="W260" s="147"/>
      <c r="X260" s="154"/>
      <c r="Y260" s="147"/>
      <c r="Z260" s="150"/>
      <c r="AA260" s="151"/>
      <c r="AB260" s="150"/>
      <c r="AC260" s="151"/>
      <c r="AD260" s="152"/>
      <c r="AE260" s="153"/>
      <c r="AF260" s="148"/>
      <c r="AG260" s="147"/>
      <c r="AH260" s="147"/>
    </row>
    <row r="261" spans="4:34" ht="18" hidden="1" customHeight="1">
      <c r="D261" s="13">
        <v>251</v>
      </c>
      <c r="E261" s="13" t="s">
        <v>636</v>
      </c>
      <c r="F261" s="15"/>
      <c r="G261" s="118"/>
      <c r="H261" s="126"/>
      <c r="I261" s="14"/>
      <c r="J261" s="48"/>
      <c r="K261" s="118"/>
      <c r="L261" s="118"/>
      <c r="M261" s="118"/>
      <c r="N261" s="127"/>
      <c r="O261" s="16"/>
      <c r="P261" s="147"/>
      <c r="Q261" s="147"/>
      <c r="R261" s="147"/>
      <c r="S261" s="147"/>
      <c r="T261" s="147"/>
      <c r="U261" s="217"/>
      <c r="V261" s="147"/>
      <c r="W261" s="147"/>
      <c r="X261" s="154"/>
      <c r="Y261" s="147"/>
      <c r="Z261" s="150"/>
      <c r="AA261" s="151"/>
      <c r="AB261" s="150"/>
      <c r="AC261" s="151"/>
      <c r="AD261" s="152"/>
      <c r="AE261" s="153"/>
      <c r="AF261" s="148"/>
      <c r="AG261" s="147"/>
      <c r="AH261" s="147"/>
    </row>
    <row r="262" spans="4:34" ht="18" hidden="1" customHeight="1">
      <c r="D262" s="15">
        <v>252</v>
      </c>
      <c r="E262" s="13" t="s">
        <v>637</v>
      </c>
      <c r="F262" s="15"/>
      <c r="G262" s="118"/>
      <c r="H262" s="126"/>
      <c r="I262" s="14"/>
      <c r="J262" s="48"/>
      <c r="K262" s="118"/>
      <c r="L262" s="118"/>
      <c r="M262" s="118"/>
      <c r="N262" s="127"/>
      <c r="O262" s="16"/>
      <c r="P262" s="147"/>
      <c r="Q262" s="147"/>
      <c r="R262" s="147"/>
      <c r="S262" s="147"/>
      <c r="T262" s="147"/>
      <c r="U262" s="217"/>
      <c r="V262" s="147"/>
      <c r="W262" s="147"/>
      <c r="X262" s="154"/>
      <c r="Y262" s="147"/>
      <c r="Z262" s="150"/>
      <c r="AA262" s="151"/>
      <c r="AB262" s="150"/>
      <c r="AC262" s="151"/>
      <c r="AD262" s="152"/>
      <c r="AE262" s="153"/>
      <c r="AF262" s="148"/>
      <c r="AG262" s="147"/>
      <c r="AH262" s="147"/>
    </row>
    <row r="263" spans="4:34" ht="18" hidden="1" customHeight="1">
      <c r="D263" s="13">
        <v>253</v>
      </c>
      <c r="E263" s="13" t="s">
        <v>638</v>
      </c>
      <c r="F263" s="15"/>
      <c r="G263" s="118"/>
      <c r="H263" s="126"/>
      <c r="I263" s="14"/>
      <c r="J263" s="48"/>
      <c r="K263" s="118"/>
      <c r="L263" s="118"/>
      <c r="M263" s="118"/>
      <c r="N263" s="127"/>
      <c r="O263" s="16"/>
      <c r="P263" s="147"/>
      <c r="Q263" s="147"/>
      <c r="R263" s="147"/>
      <c r="S263" s="147"/>
      <c r="T263" s="147"/>
      <c r="U263" s="217"/>
      <c r="V263" s="147"/>
      <c r="W263" s="147"/>
      <c r="X263" s="154"/>
      <c r="Y263" s="147"/>
      <c r="Z263" s="150"/>
      <c r="AA263" s="151"/>
      <c r="AB263" s="150"/>
      <c r="AC263" s="151"/>
      <c r="AD263" s="152"/>
      <c r="AE263" s="153"/>
      <c r="AF263" s="148"/>
      <c r="AG263" s="147"/>
      <c r="AH263" s="147"/>
    </row>
    <row r="264" spans="4:34" ht="18" hidden="1" customHeight="1">
      <c r="D264" s="15">
        <v>254</v>
      </c>
      <c r="E264" s="13" t="s">
        <v>639</v>
      </c>
      <c r="F264" s="15"/>
      <c r="G264" s="118"/>
      <c r="H264" s="126"/>
      <c r="I264" s="14"/>
      <c r="J264" s="48"/>
      <c r="K264" s="118"/>
      <c r="L264" s="118"/>
      <c r="M264" s="118"/>
      <c r="N264" s="127"/>
      <c r="O264" s="16"/>
      <c r="P264" s="147"/>
      <c r="Q264" s="147"/>
      <c r="R264" s="147"/>
      <c r="S264" s="147"/>
      <c r="T264" s="147"/>
      <c r="U264" s="217"/>
      <c r="V264" s="147"/>
      <c r="W264" s="147"/>
      <c r="X264" s="154"/>
      <c r="Y264" s="147"/>
      <c r="Z264" s="150"/>
      <c r="AA264" s="151"/>
      <c r="AB264" s="150"/>
      <c r="AC264" s="151"/>
      <c r="AD264" s="152"/>
      <c r="AE264" s="153"/>
      <c r="AF264" s="148"/>
      <c r="AG264" s="147"/>
      <c r="AH264" s="147"/>
    </row>
    <row r="265" spans="4:34" ht="18" hidden="1" customHeight="1">
      <c r="D265" s="13">
        <v>255</v>
      </c>
      <c r="E265" s="13" t="s">
        <v>640</v>
      </c>
      <c r="F265" s="15"/>
      <c r="G265" s="118"/>
      <c r="H265" s="126"/>
      <c r="I265" s="14"/>
      <c r="J265" s="48"/>
      <c r="K265" s="118"/>
      <c r="L265" s="118"/>
      <c r="M265" s="118"/>
      <c r="N265" s="127"/>
      <c r="O265" s="16"/>
      <c r="P265" s="147"/>
      <c r="Q265" s="147"/>
      <c r="R265" s="147"/>
      <c r="S265" s="147"/>
      <c r="T265" s="147"/>
      <c r="U265" s="217"/>
      <c r="V265" s="147"/>
      <c r="W265" s="147"/>
      <c r="X265" s="154"/>
      <c r="Y265" s="147"/>
      <c r="Z265" s="150"/>
      <c r="AA265" s="151"/>
      <c r="AB265" s="150"/>
      <c r="AC265" s="151"/>
      <c r="AD265" s="152"/>
      <c r="AE265" s="153"/>
      <c r="AF265" s="148"/>
      <c r="AG265" s="147"/>
      <c r="AH265" s="147"/>
    </row>
    <row r="266" spans="4:34" ht="18" hidden="1" customHeight="1">
      <c r="D266" s="15">
        <v>256</v>
      </c>
      <c r="E266" s="13" t="s">
        <v>641</v>
      </c>
      <c r="F266" s="15"/>
      <c r="G266" s="118"/>
      <c r="H266" s="126"/>
      <c r="I266" s="14"/>
      <c r="J266" s="48"/>
      <c r="K266" s="118"/>
      <c r="L266" s="118"/>
      <c r="M266" s="118"/>
      <c r="N266" s="127"/>
      <c r="O266" s="16"/>
      <c r="P266" s="147"/>
      <c r="Q266" s="147"/>
      <c r="R266" s="147"/>
      <c r="S266" s="147"/>
      <c r="T266" s="147"/>
      <c r="U266" s="217"/>
      <c r="V266" s="147"/>
      <c r="W266" s="147"/>
      <c r="X266" s="154"/>
      <c r="Y266" s="147"/>
      <c r="Z266" s="150"/>
      <c r="AA266" s="151"/>
      <c r="AB266" s="150"/>
      <c r="AC266" s="151"/>
      <c r="AD266" s="152"/>
      <c r="AE266" s="153"/>
      <c r="AF266" s="148"/>
      <c r="AG266" s="147"/>
      <c r="AH266" s="147"/>
    </row>
    <row r="267" spans="4:34" ht="18" hidden="1" customHeight="1">
      <c r="D267" s="13">
        <v>257</v>
      </c>
      <c r="E267" s="13" t="s">
        <v>642</v>
      </c>
      <c r="F267" s="15"/>
      <c r="G267" s="118"/>
      <c r="H267" s="126"/>
      <c r="I267" s="14"/>
      <c r="J267" s="48"/>
      <c r="K267" s="118"/>
      <c r="L267" s="118"/>
      <c r="M267" s="118"/>
      <c r="N267" s="127"/>
      <c r="O267" s="16"/>
      <c r="P267" s="147"/>
      <c r="Q267" s="147"/>
      <c r="R267" s="147"/>
      <c r="S267" s="147"/>
      <c r="T267" s="147"/>
      <c r="U267" s="217"/>
      <c r="V267" s="147"/>
      <c r="W267" s="147"/>
      <c r="X267" s="154"/>
      <c r="Y267" s="147"/>
      <c r="Z267" s="150"/>
      <c r="AA267" s="151"/>
      <c r="AB267" s="150"/>
      <c r="AC267" s="151"/>
      <c r="AD267" s="152"/>
      <c r="AE267" s="153"/>
      <c r="AF267" s="148"/>
      <c r="AG267" s="147"/>
      <c r="AH267" s="147"/>
    </row>
    <row r="268" spans="4:34" ht="18" hidden="1" customHeight="1">
      <c r="D268" s="15">
        <v>258</v>
      </c>
      <c r="E268" s="13" t="s">
        <v>643</v>
      </c>
      <c r="F268" s="15"/>
      <c r="G268" s="118"/>
      <c r="H268" s="126"/>
      <c r="I268" s="14"/>
      <c r="J268" s="48"/>
      <c r="K268" s="118"/>
      <c r="L268" s="118"/>
      <c r="M268" s="118"/>
      <c r="N268" s="127"/>
      <c r="O268" s="16"/>
      <c r="P268" s="147"/>
      <c r="Q268" s="147"/>
      <c r="R268" s="147"/>
      <c r="S268" s="147"/>
      <c r="T268" s="147"/>
      <c r="U268" s="217"/>
      <c r="V268" s="147"/>
      <c r="W268" s="147"/>
      <c r="X268" s="154"/>
      <c r="Y268" s="147"/>
      <c r="Z268" s="150"/>
      <c r="AA268" s="151"/>
      <c r="AB268" s="150"/>
      <c r="AC268" s="151"/>
      <c r="AD268" s="152"/>
      <c r="AE268" s="153"/>
      <c r="AF268" s="148"/>
      <c r="AG268" s="147"/>
      <c r="AH268" s="147"/>
    </row>
    <row r="269" spans="4:34" ht="18" hidden="1" customHeight="1">
      <c r="D269" s="13">
        <v>259</v>
      </c>
      <c r="E269" s="13" t="s">
        <v>644</v>
      </c>
      <c r="F269" s="15"/>
      <c r="G269" s="118"/>
      <c r="H269" s="126"/>
      <c r="I269" s="14"/>
      <c r="J269" s="48"/>
      <c r="K269" s="118"/>
      <c r="L269" s="118"/>
      <c r="M269" s="118"/>
      <c r="N269" s="127"/>
      <c r="O269" s="16"/>
      <c r="P269" s="147"/>
      <c r="Q269" s="147"/>
      <c r="R269" s="147"/>
      <c r="S269" s="147"/>
      <c r="T269" s="147"/>
      <c r="U269" s="217"/>
      <c r="V269" s="147"/>
      <c r="W269" s="147"/>
      <c r="X269" s="154"/>
      <c r="Y269" s="147"/>
      <c r="Z269" s="150"/>
      <c r="AA269" s="151"/>
      <c r="AB269" s="150"/>
      <c r="AC269" s="151"/>
      <c r="AD269" s="152"/>
      <c r="AE269" s="153"/>
      <c r="AF269" s="148"/>
      <c r="AG269" s="147"/>
      <c r="AH269" s="147"/>
    </row>
    <row r="270" spans="4:34" ht="18" hidden="1" customHeight="1">
      <c r="D270" s="15">
        <v>260</v>
      </c>
      <c r="E270" s="13" t="s">
        <v>645</v>
      </c>
      <c r="F270" s="15"/>
      <c r="G270" s="118"/>
      <c r="H270" s="126"/>
      <c r="I270" s="14"/>
      <c r="J270" s="48"/>
      <c r="K270" s="118"/>
      <c r="L270" s="118"/>
      <c r="M270" s="118"/>
      <c r="N270" s="127"/>
      <c r="O270" s="16"/>
      <c r="P270" s="147"/>
      <c r="Q270" s="147"/>
      <c r="R270" s="147"/>
      <c r="S270" s="147"/>
      <c r="T270" s="147"/>
      <c r="U270" s="217"/>
      <c r="V270" s="147"/>
      <c r="W270" s="147"/>
      <c r="X270" s="154"/>
      <c r="Y270" s="147"/>
      <c r="Z270" s="150"/>
      <c r="AA270" s="151"/>
      <c r="AB270" s="150"/>
      <c r="AC270" s="151"/>
      <c r="AD270" s="152"/>
      <c r="AE270" s="153"/>
      <c r="AF270" s="148"/>
      <c r="AG270" s="147"/>
      <c r="AH270" s="147"/>
    </row>
    <row r="271" spans="4:34" ht="18" hidden="1" customHeight="1">
      <c r="D271" s="13">
        <v>261</v>
      </c>
      <c r="E271" s="13" t="s">
        <v>646</v>
      </c>
      <c r="F271" s="15"/>
      <c r="G271" s="118"/>
      <c r="H271" s="126"/>
      <c r="I271" s="14"/>
      <c r="J271" s="48"/>
      <c r="K271" s="118"/>
      <c r="L271" s="118"/>
      <c r="M271" s="118"/>
      <c r="N271" s="127"/>
      <c r="O271" s="16"/>
      <c r="P271" s="147"/>
      <c r="Q271" s="147"/>
      <c r="R271" s="147"/>
      <c r="S271" s="147"/>
      <c r="T271" s="147"/>
      <c r="U271" s="217"/>
      <c r="V271" s="147"/>
      <c r="W271" s="147"/>
      <c r="X271" s="154"/>
      <c r="Y271" s="147"/>
      <c r="Z271" s="150"/>
      <c r="AA271" s="151"/>
      <c r="AB271" s="150"/>
      <c r="AC271" s="151"/>
      <c r="AD271" s="152"/>
      <c r="AE271" s="153"/>
      <c r="AF271" s="148"/>
      <c r="AG271" s="147"/>
      <c r="AH271" s="147"/>
    </row>
    <row r="272" spans="4:34" ht="18" hidden="1" customHeight="1">
      <c r="D272" s="15">
        <v>262</v>
      </c>
      <c r="E272" s="13" t="s">
        <v>647</v>
      </c>
      <c r="F272" s="15"/>
      <c r="G272" s="118"/>
      <c r="H272" s="126"/>
      <c r="I272" s="14"/>
      <c r="J272" s="48"/>
      <c r="K272" s="118"/>
      <c r="L272" s="118"/>
      <c r="M272" s="118"/>
      <c r="N272" s="127"/>
      <c r="O272" s="16"/>
      <c r="P272" s="147"/>
      <c r="Q272" s="147"/>
      <c r="R272" s="147"/>
      <c r="S272" s="147"/>
      <c r="T272" s="147"/>
      <c r="U272" s="217"/>
      <c r="V272" s="147"/>
      <c r="W272" s="147"/>
      <c r="X272" s="154"/>
      <c r="Y272" s="147"/>
      <c r="Z272" s="150"/>
      <c r="AA272" s="151"/>
      <c r="AB272" s="150"/>
      <c r="AC272" s="151"/>
      <c r="AD272" s="152"/>
      <c r="AE272" s="153"/>
      <c r="AF272" s="148"/>
      <c r="AG272" s="147"/>
      <c r="AH272" s="147"/>
    </row>
    <row r="273" spans="4:34" ht="18" hidden="1" customHeight="1">
      <c r="D273" s="13">
        <v>263</v>
      </c>
      <c r="E273" s="13" t="s">
        <v>648</v>
      </c>
      <c r="F273" s="15"/>
      <c r="G273" s="118"/>
      <c r="H273" s="126"/>
      <c r="I273" s="14"/>
      <c r="J273" s="48"/>
      <c r="K273" s="118"/>
      <c r="L273" s="118"/>
      <c r="M273" s="118"/>
      <c r="N273" s="127"/>
      <c r="O273" s="16"/>
      <c r="P273" s="147"/>
      <c r="Q273" s="147"/>
      <c r="R273" s="147"/>
      <c r="S273" s="147"/>
      <c r="T273" s="147"/>
      <c r="U273" s="217"/>
      <c r="V273" s="147"/>
      <c r="W273" s="147"/>
      <c r="X273" s="154"/>
      <c r="Y273" s="147"/>
      <c r="Z273" s="150"/>
      <c r="AA273" s="151"/>
      <c r="AB273" s="150"/>
      <c r="AC273" s="151"/>
      <c r="AD273" s="152"/>
      <c r="AE273" s="153"/>
      <c r="AF273" s="148"/>
      <c r="AG273" s="147"/>
      <c r="AH273" s="147"/>
    </row>
    <row r="274" spans="4:34" ht="18" hidden="1" customHeight="1">
      <c r="D274" s="15">
        <v>264</v>
      </c>
      <c r="E274" s="13" t="s">
        <v>649</v>
      </c>
      <c r="F274" s="15"/>
      <c r="G274" s="118"/>
      <c r="H274" s="126"/>
      <c r="I274" s="14"/>
      <c r="J274" s="48"/>
      <c r="K274" s="118"/>
      <c r="L274" s="118"/>
      <c r="M274" s="118"/>
      <c r="N274" s="127"/>
      <c r="O274" s="127"/>
      <c r="P274" s="147"/>
      <c r="Q274" s="147"/>
      <c r="R274" s="147"/>
      <c r="S274" s="147"/>
      <c r="T274" s="147"/>
      <c r="U274" s="217"/>
      <c r="V274" s="147"/>
      <c r="W274" s="147"/>
      <c r="X274" s="154"/>
      <c r="Y274" s="147"/>
      <c r="Z274" s="150"/>
      <c r="AA274" s="151"/>
      <c r="AB274" s="150"/>
      <c r="AC274" s="151"/>
      <c r="AD274" s="152"/>
      <c r="AE274" s="153"/>
      <c r="AF274" s="148"/>
      <c r="AG274" s="147"/>
      <c r="AH274" s="147"/>
    </row>
    <row r="275" spans="4:34" ht="18" hidden="1" customHeight="1">
      <c r="D275" s="13">
        <v>265</v>
      </c>
      <c r="E275" s="13" t="s">
        <v>650</v>
      </c>
      <c r="F275" s="15"/>
      <c r="G275" s="118"/>
      <c r="H275" s="126"/>
      <c r="I275" s="14"/>
      <c r="J275" s="48"/>
      <c r="K275" s="118"/>
      <c r="L275" s="118"/>
      <c r="M275" s="118"/>
      <c r="N275" s="127"/>
      <c r="O275" s="16"/>
      <c r="P275" s="147"/>
      <c r="Q275" s="147"/>
      <c r="R275" s="147"/>
      <c r="S275" s="147"/>
      <c r="T275" s="147"/>
      <c r="U275" s="217"/>
      <c r="V275" s="147"/>
      <c r="W275" s="147"/>
      <c r="X275" s="154"/>
      <c r="Y275" s="147"/>
      <c r="Z275" s="150"/>
      <c r="AA275" s="151"/>
      <c r="AB275" s="150"/>
      <c r="AC275" s="151"/>
      <c r="AD275" s="152"/>
      <c r="AE275" s="153"/>
      <c r="AF275" s="148"/>
      <c r="AG275" s="147"/>
      <c r="AH275" s="228"/>
    </row>
    <row r="276" spans="4:34" ht="18" hidden="1" customHeight="1">
      <c r="D276" s="15">
        <v>266</v>
      </c>
      <c r="E276" s="13" t="s">
        <v>651</v>
      </c>
      <c r="F276" s="15"/>
      <c r="G276" s="118"/>
      <c r="H276" s="126"/>
      <c r="I276" s="14"/>
      <c r="J276" s="48"/>
      <c r="K276" s="118"/>
      <c r="L276" s="118"/>
      <c r="M276" s="118"/>
      <c r="N276" s="127"/>
      <c r="O276" s="16"/>
      <c r="P276" s="147"/>
      <c r="Q276" s="147"/>
      <c r="R276" s="147"/>
      <c r="S276" s="147"/>
      <c r="T276" s="147"/>
      <c r="U276" s="217"/>
      <c r="V276" s="147"/>
      <c r="W276" s="147"/>
      <c r="X276" s="154"/>
      <c r="Y276" s="147"/>
      <c r="Z276" s="150"/>
      <c r="AA276" s="151"/>
      <c r="AB276" s="150"/>
      <c r="AC276" s="151"/>
      <c r="AD276" s="152"/>
      <c r="AE276" s="153"/>
      <c r="AF276" s="148"/>
      <c r="AG276" s="147"/>
      <c r="AH276" s="147"/>
    </row>
    <row r="277" spans="4:34" ht="18" hidden="1" customHeight="1">
      <c r="D277" s="13">
        <v>267</v>
      </c>
      <c r="E277" s="13" t="s">
        <v>652</v>
      </c>
      <c r="F277" s="15"/>
      <c r="G277" s="118"/>
      <c r="H277" s="126"/>
      <c r="I277" s="14"/>
      <c r="J277" s="48"/>
      <c r="K277" s="118"/>
      <c r="L277" s="118"/>
      <c r="M277" s="118"/>
      <c r="N277" s="127"/>
      <c r="O277" s="16"/>
      <c r="P277" s="147"/>
      <c r="Q277" s="147"/>
      <c r="R277" s="147"/>
      <c r="S277" s="147"/>
      <c r="T277" s="147"/>
      <c r="U277" s="217"/>
      <c r="V277" s="147"/>
      <c r="W277" s="147"/>
      <c r="X277" s="154"/>
      <c r="Y277" s="147"/>
      <c r="Z277" s="150"/>
      <c r="AA277" s="151"/>
      <c r="AB277" s="150"/>
      <c r="AC277" s="151"/>
      <c r="AD277" s="152"/>
      <c r="AE277" s="153"/>
      <c r="AF277" s="148"/>
      <c r="AG277" s="147"/>
      <c r="AH277" s="147"/>
    </row>
    <row r="278" spans="4:34" ht="18" hidden="1" customHeight="1">
      <c r="D278" s="15">
        <v>268</v>
      </c>
      <c r="E278" s="13" t="s">
        <v>653</v>
      </c>
      <c r="F278" s="15"/>
      <c r="G278" s="118"/>
      <c r="H278" s="126"/>
      <c r="I278" s="14"/>
      <c r="J278" s="48"/>
      <c r="K278" s="118"/>
      <c r="L278" s="118"/>
      <c r="M278" s="118"/>
      <c r="N278" s="127"/>
      <c r="O278" s="127"/>
      <c r="P278" s="147"/>
      <c r="Q278" s="147"/>
      <c r="R278" s="147"/>
      <c r="S278" s="147"/>
      <c r="T278" s="147"/>
      <c r="U278" s="217"/>
      <c r="V278" s="147"/>
      <c r="W278" s="147"/>
      <c r="X278" s="154"/>
      <c r="Y278" s="147"/>
      <c r="Z278" s="150"/>
      <c r="AA278" s="151"/>
      <c r="AB278" s="150"/>
      <c r="AC278" s="151"/>
      <c r="AD278" s="152"/>
      <c r="AE278" s="153"/>
      <c r="AF278" s="148"/>
      <c r="AG278" s="147"/>
      <c r="AH278" s="147"/>
    </row>
    <row r="279" spans="4:34" ht="18" hidden="1" customHeight="1">
      <c r="D279" s="13">
        <v>269</v>
      </c>
      <c r="E279" s="13" t="s">
        <v>654</v>
      </c>
      <c r="F279" s="15"/>
      <c r="G279" s="118"/>
      <c r="H279" s="126"/>
      <c r="I279" s="14"/>
      <c r="J279" s="48"/>
      <c r="K279" s="118"/>
      <c r="L279" s="118"/>
      <c r="M279" s="118"/>
      <c r="N279" s="127"/>
      <c r="O279" s="16"/>
      <c r="P279" s="147"/>
      <c r="Q279" s="147"/>
      <c r="R279" s="147"/>
      <c r="S279" s="147"/>
      <c r="T279" s="147"/>
      <c r="U279" s="217"/>
      <c r="V279" s="147"/>
      <c r="W279" s="147"/>
      <c r="X279" s="154"/>
      <c r="Y279" s="147"/>
      <c r="Z279" s="150"/>
      <c r="AA279" s="151"/>
      <c r="AB279" s="150"/>
      <c r="AC279" s="151"/>
      <c r="AD279" s="152"/>
      <c r="AE279" s="153"/>
      <c r="AF279" s="148"/>
      <c r="AG279" s="147"/>
      <c r="AH279" s="147"/>
    </row>
    <row r="280" spans="4:34" ht="18" hidden="1" customHeight="1">
      <c r="D280" s="15">
        <v>270</v>
      </c>
      <c r="E280" s="13" t="s">
        <v>655</v>
      </c>
      <c r="F280" s="15"/>
      <c r="G280" s="118"/>
      <c r="H280" s="126"/>
      <c r="I280" s="14"/>
      <c r="J280" s="48"/>
      <c r="K280" s="118"/>
      <c r="L280" s="118"/>
      <c r="M280" s="118"/>
      <c r="N280" s="127"/>
      <c r="O280" s="16"/>
      <c r="P280" s="147"/>
      <c r="Q280" s="147"/>
      <c r="R280" s="147"/>
      <c r="S280" s="147"/>
      <c r="T280" s="147"/>
      <c r="U280" s="217"/>
      <c r="V280" s="147"/>
      <c r="W280" s="147"/>
      <c r="X280" s="154"/>
      <c r="Y280" s="147"/>
      <c r="Z280" s="150"/>
      <c r="AA280" s="151"/>
      <c r="AB280" s="150"/>
      <c r="AC280" s="151"/>
      <c r="AD280" s="152"/>
      <c r="AE280" s="153"/>
      <c r="AF280" s="148"/>
      <c r="AG280" s="147"/>
      <c r="AH280" s="147"/>
    </row>
    <row r="281" spans="4:34" ht="18" hidden="1" customHeight="1">
      <c r="D281" s="13">
        <v>271</v>
      </c>
      <c r="E281" s="13" t="s">
        <v>656</v>
      </c>
      <c r="F281" s="15"/>
      <c r="G281" s="118"/>
      <c r="H281" s="126"/>
      <c r="I281" s="14"/>
      <c r="J281" s="48"/>
      <c r="K281" s="118"/>
      <c r="L281" s="118"/>
      <c r="M281" s="118"/>
      <c r="N281" s="127"/>
      <c r="O281" s="16"/>
      <c r="P281" s="147"/>
      <c r="Q281" s="147"/>
      <c r="R281" s="147"/>
      <c r="S281" s="147"/>
      <c r="T281" s="147"/>
      <c r="U281" s="217"/>
      <c r="V281" s="147"/>
      <c r="W281" s="147"/>
      <c r="X281" s="154"/>
      <c r="Y281" s="147"/>
      <c r="Z281" s="150"/>
      <c r="AA281" s="151"/>
      <c r="AB281" s="150"/>
      <c r="AC281" s="151"/>
      <c r="AD281" s="152"/>
      <c r="AE281" s="153"/>
      <c r="AF281" s="148"/>
      <c r="AG281" s="147"/>
      <c r="AH281" s="147"/>
    </row>
    <row r="282" spans="4:34" ht="18" hidden="1" customHeight="1">
      <c r="D282" s="15">
        <v>272</v>
      </c>
      <c r="E282" s="13" t="s">
        <v>657</v>
      </c>
      <c r="F282" s="15"/>
      <c r="G282" s="118"/>
      <c r="H282" s="126"/>
      <c r="I282" s="14"/>
      <c r="J282" s="48"/>
      <c r="K282" s="118"/>
      <c r="L282" s="118"/>
      <c r="M282" s="118"/>
      <c r="N282" s="127"/>
      <c r="O282" s="16"/>
      <c r="P282" s="147"/>
      <c r="Q282" s="147"/>
      <c r="R282" s="147"/>
      <c r="S282" s="147"/>
      <c r="T282" s="147"/>
      <c r="U282" s="217"/>
      <c r="V282" s="147"/>
      <c r="W282" s="147"/>
      <c r="X282" s="154"/>
      <c r="Y282" s="147"/>
      <c r="Z282" s="150"/>
      <c r="AA282" s="151"/>
      <c r="AB282" s="150"/>
      <c r="AC282" s="151"/>
      <c r="AD282" s="152"/>
      <c r="AE282" s="153"/>
      <c r="AF282" s="148"/>
      <c r="AG282" s="147"/>
      <c r="AH282" s="147"/>
    </row>
    <row r="283" spans="4:34" ht="18" hidden="1" customHeight="1">
      <c r="D283" s="13">
        <v>273</v>
      </c>
      <c r="E283" s="13" t="s">
        <v>658</v>
      </c>
      <c r="F283" s="15"/>
      <c r="G283" s="118"/>
      <c r="H283" s="126"/>
      <c r="I283" s="14"/>
      <c r="J283" s="48"/>
      <c r="K283" s="118"/>
      <c r="L283" s="118"/>
      <c r="M283" s="118"/>
      <c r="N283" s="127"/>
      <c r="O283" s="16"/>
      <c r="P283" s="147"/>
      <c r="Q283" s="147"/>
      <c r="R283" s="147"/>
      <c r="S283" s="147"/>
      <c r="T283" s="147"/>
      <c r="U283" s="217"/>
      <c r="V283" s="147"/>
      <c r="W283" s="147"/>
      <c r="X283" s="154"/>
      <c r="Y283" s="147"/>
      <c r="Z283" s="150"/>
      <c r="AA283" s="151"/>
      <c r="AB283" s="150"/>
      <c r="AC283" s="151"/>
      <c r="AD283" s="152"/>
      <c r="AE283" s="153"/>
      <c r="AF283" s="148"/>
      <c r="AG283" s="147"/>
      <c r="AH283" s="147"/>
    </row>
    <row r="284" spans="4:34" ht="18" hidden="1" customHeight="1">
      <c r="D284" s="15">
        <v>274</v>
      </c>
      <c r="E284" s="13" t="s">
        <v>659</v>
      </c>
      <c r="F284" s="15"/>
      <c r="G284" s="118"/>
      <c r="H284" s="126"/>
      <c r="I284" s="14"/>
      <c r="J284" s="48"/>
      <c r="K284" s="118"/>
      <c r="L284" s="118"/>
      <c r="M284" s="118"/>
      <c r="N284" s="127"/>
      <c r="O284" s="16"/>
      <c r="P284" s="147"/>
      <c r="Q284" s="147"/>
      <c r="R284" s="147"/>
      <c r="S284" s="147"/>
      <c r="T284" s="147"/>
      <c r="U284" s="217"/>
      <c r="V284" s="147"/>
      <c r="W284" s="147"/>
      <c r="X284" s="154"/>
      <c r="Y284" s="147"/>
      <c r="Z284" s="150"/>
      <c r="AA284" s="151"/>
      <c r="AB284" s="150"/>
      <c r="AC284" s="151"/>
      <c r="AD284" s="152"/>
      <c r="AE284" s="153"/>
      <c r="AF284" s="148"/>
      <c r="AG284" s="147"/>
      <c r="AH284" s="147"/>
    </row>
    <row r="285" spans="4:34" ht="18" hidden="1" customHeight="1">
      <c r="D285" s="13">
        <v>275</v>
      </c>
      <c r="E285" s="13" t="s">
        <v>660</v>
      </c>
      <c r="F285" s="15"/>
      <c r="G285" s="118"/>
      <c r="H285" s="126"/>
      <c r="I285" s="14"/>
      <c r="J285" s="48"/>
      <c r="K285" s="118"/>
      <c r="L285" s="118"/>
      <c r="M285" s="118"/>
      <c r="N285" s="127"/>
      <c r="O285" s="16"/>
      <c r="P285" s="147"/>
      <c r="Q285" s="147"/>
      <c r="R285" s="147"/>
      <c r="S285" s="147"/>
      <c r="T285" s="147"/>
      <c r="U285" s="217"/>
      <c r="V285" s="147"/>
      <c r="W285" s="147"/>
      <c r="X285" s="154"/>
      <c r="Y285" s="147"/>
      <c r="Z285" s="150"/>
      <c r="AA285" s="151"/>
      <c r="AB285" s="150"/>
      <c r="AC285" s="151"/>
      <c r="AD285" s="152"/>
      <c r="AE285" s="153"/>
      <c r="AF285" s="148"/>
      <c r="AG285" s="147"/>
      <c r="AH285" s="147"/>
    </row>
    <row r="286" spans="4:34" ht="18" hidden="1" customHeight="1">
      <c r="D286" s="15">
        <v>276</v>
      </c>
      <c r="E286" s="13" t="s">
        <v>661</v>
      </c>
      <c r="F286" s="15"/>
      <c r="G286" s="118"/>
      <c r="H286" s="126"/>
      <c r="I286" s="14"/>
      <c r="J286" s="48"/>
      <c r="K286" s="118"/>
      <c r="L286" s="118"/>
      <c r="M286" s="118"/>
      <c r="N286" s="127"/>
      <c r="O286" s="16"/>
      <c r="P286" s="147"/>
      <c r="Q286" s="147"/>
      <c r="R286" s="147"/>
      <c r="S286" s="147"/>
      <c r="T286" s="147"/>
      <c r="U286" s="217"/>
      <c r="V286" s="147"/>
      <c r="W286" s="147"/>
      <c r="X286" s="154"/>
      <c r="Y286" s="147"/>
      <c r="Z286" s="150"/>
      <c r="AA286" s="151"/>
      <c r="AB286" s="150"/>
      <c r="AC286" s="151"/>
      <c r="AD286" s="152"/>
      <c r="AE286" s="153"/>
      <c r="AF286" s="148"/>
      <c r="AG286" s="147"/>
      <c r="AH286" s="147"/>
    </row>
    <row r="287" spans="4:34" ht="18" hidden="1" customHeight="1">
      <c r="D287" s="13">
        <v>277</v>
      </c>
      <c r="E287" s="13" t="s">
        <v>662</v>
      </c>
      <c r="F287" s="15"/>
      <c r="G287" s="118"/>
      <c r="H287" s="126"/>
      <c r="I287" s="14"/>
      <c r="J287" s="48"/>
      <c r="K287" s="118"/>
      <c r="L287" s="118"/>
      <c r="M287" s="118"/>
      <c r="N287" s="127"/>
      <c r="O287" s="16"/>
      <c r="P287" s="147"/>
      <c r="Q287" s="147"/>
      <c r="R287" s="147"/>
      <c r="S287" s="147"/>
      <c r="T287" s="147"/>
      <c r="U287" s="217"/>
      <c r="V287" s="147"/>
      <c r="W287" s="147"/>
      <c r="X287" s="154"/>
      <c r="Y287" s="147"/>
      <c r="Z287" s="150"/>
      <c r="AA287" s="151"/>
      <c r="AB287" s="150"/>
      <c r="AC287" s="151"/>
      <c r="AD287" s="152"/>
      <c r="AE287" s="153"/>
      <c r="AF287" s="148"/>
      <c r="AG287" s="147"/>
      <c r="AH287" s="147"/>
    </row>
    <row r="288" spans="4:34" ht="18" hidden="1" customHeight="1">
      <c r="D288" s="15">
        <v>278</v>
      </c>
      <c r="E288" s="13" t="s">
        <v>663</v>
      </c>
      <c r="F288" s="15"/>
      <c r="G288" s="118"/>
      <c r="H288" s="126"/>
      <c r="I288" s="14"/>
      <c r="J288" s="48"/>
      <c r="K288" s="118"/>
      <c r="L288" s="118"/>
      <c r="M288" s="118"/>
      <c r="N288" s="127"/>
      <c r="O288" s="16"/>
      <c r="P288" s="147"/>
      <c r="Q288" s="147"/>
      <c r="R288" s="147"/>
      <c r="S288" s="147"/>
      <c r="T288" s="147"/>
      <c r="U288" s="217"/>
      <c r="V288" s="147"/>
      <c r="W288" s="147"/>
      <c r="X288" s="154"/>
      <c r="Y288" s="147"/>
      <c r="Z288" s="150"/>
      <c r="AA288" s="151"/>
      <c r="AB288" s="150"/>
      <c r="AC288" s="151"/>
      <c r="AD288" s="152"/>
      <c r="AE288" s="153"/>
      <c r="AF288" s="148"/>
      <c r="AG288" s="147"/>
      <c r="AH288" s="147"/>
    </row>
    <row r="289" spans="4:34" ht="18" hidden="1" customHeight="1">
      <c r="D289" s="13">
        <v>279</v>
      </c>
      <c r="E289" s="13" t="s">
        <v>664</v>
      </c>
      <c r="F289" s="15"/>
      <c r="G289" s="118"/>
      <c r="H289" s="126"/>
      <c r="I289" s="14"/>
      <c r="J289" s="48"/>
      <c r="K289" s="118"/>
      <c r="L289" s="118"/>
      <c r="M289" s="118"/>
      <c r="N289" s="127"/>
      <c r="O289" s="16"/>
      <c r="P289" s="147"/>
      <c r="Q289" s="147"/>
      <c r="R289" s="147"/>
      <c r="S289" s="147"/>
      <c r="T289" s="147"/>
      <c r="U289" s="217"/>
      <c r="V289" s="147"/>
      <c r="W289" s="147"/>
      <c r="X289" s="154"/>
      <c r="Y289" s="147"/>
      <c r="Z289" s="150"/>
      <c r="AA289" s="151"/>
      <c r="AB289" s="150"/>
      <c r="AC289" s="151"/>
      <c r="AD289" s="152"/>
      <c r="AE289" s="153"/>
      <c r="AF289" s="148"/>
      <c r="AG289" s="147"/>
      <c r="AH289" s="147"/>
    </row>
    <row r="290" spans="4:34" ht="18" hidden="1" customHeight="1">
      <c r="D290" s="15">
        <v>280</v>
      </c>
      <c r="E290" s="13" t="s">
        <v>665</v>
      </c>
      <c r="F290" s="15"/>
      <c r="G290" s="118"/>
      <c r="H290" s="126"/>
      <c r="I290" s="14"/>
      <c r="J290" s="48"/>
      <c r="K290" s="118"/>
      <c r="L290" s="118"/>
      <c r="M290" s="118"/>
      <c r="N290" s="127"/>
      <c r="O290" s="16"/>
      <c r="P290" s="147"/>
      <c r="Q290" s="147"/>
      <c r="R290" s="147"/>
      <c r="S290" s="147"/>
      <c r="T290" s="147"/>
      <c r="U290" s="217"/>
      <c r="V290" s="147"/>
      <c r="W290" s="147"/>
      <c r="X290" s="154"/>
      <c r="Y290" s="147"/>
      <c r="Z290" s="150"/>
      <c r="AA290" s="151"/>
      <c r="AB290" s="150"/>
      <c r="AC290" s="151"/>
      <c r="AD290" s="152"/>
      <c r="AE290" s="153"/>
      <c r="AF290" s="148"/>
      <c r="AG290" s="147"/>
      <c r="AH290" s="147"/>
    </row>
    <row r="291" spans="4:34" ht="18" hidden="1" customHeight="1">
      <c r="D291" s="13">
        <v>281</v>
      </c>
      <c r="E291" s="13" t="s">
        <v>666</v>
      </c>
      <c r="F291" s="15"/>
      <c r="G291" s="118"/>
      <c r="H291" s="126"/>
      <c r="I291" s="14"/>
      <c r="J291" s="48"/>
      <c r="K291" s="118"/>
      <c r="L291" s="118"/>
      <c r="M291" s="118"/>
      <c r="N291" s="127"/>
      <c r="O291" s="16"/>
      <c r="P291" s="147"/>
      <c r="Q291" s="147"/>
      <c r="R291" s="147"/>
      <c r="S291" s="147"/>
      <c r="T291" s="147"/>
      <c r="U291" s="217"/>
      <c r="V291" s="147"/>
      <c r="W291" s="147"/>
      <c r="X291" s="154"/>
      <c r="Y291" s="147"/>
      <c r="Z291" s="150"/>
      <c r="AA291" s="151"/>
      <c r="AB291" s="150"/>
      <c r="AC291" s="151"/>
      <c r="AD291" s="152"/>
      <c r="AE291" s="153"/>
      <c r="AF291" s="148"/>
      <c r="AG291" s="147"/>
      <c r="AH291" s="147"/>
    </row>
    <row r="292" spans="4:34" ht="18" hidden="1" customHeight="1">
      <c r="D292" s="15">
        <v>282</v>
      </c>
      <c r="E292" s="13" t="s">
        <v>667</v>
      </c>
      <c r="F292" s="15"/>
      <c r="G292" s="118"/>
      <c r="H292" s="126"/>
      <c r="I292" s="14"/>
      <c r="J292" s="48"/>
      <c r="K292" s="118"/>
      <c r="L292" s="118"/>
      <c r="M292" s="118"/>
      <c r="N292" s="127"/>
      <c r="O292" s="16"/>
      <c r="P292" s="147"/>
      <c r="Q292" s="147"/>
      <c r="R292" s="147"/>
      <c r="S292" s="147"/>
      <c r="T292" s="147"/>
      <c r="U292" s="217"/>
      <c r="V292" s="147"/>
      <c r="W292" s="147"/>
      <c r="X292" s="154"/>
      <c r="Y292" s="147"/>
      <c r="Z292" s="150"/>
      <c r="AA292" s="151"/>
      <c r="AB292" s="150"/>
      <c r="AC292" s="151"/>
      <c r="AD292" s="152"/>
      <c r="AE292" s="153"/>
      <c r="AF292" s="148"/>
      <c r="AG292" s="147"/>
      <c r="AH292" s="147"/>
    </row>
    <row r="293" spans="4:34" ht="18" hidden="1" customHeight="1">
      <c r="D293" s="13">
        <v>283</v>
      </c>
      <c r="E293" s="13" t="s">
        <v>668</v>
      </c>
      <c r="F293" s="15"/>
      <c r="G293" s="118"/>
      <c r="H293" s="126"/>
      <c r="I293" s="14"/>
      <c r="J293" s="48"/>
      <c r="K293" s="118"/>
      <c r="L293" s="118"/>
      <c r="M293" s="118"/>
      <c r="N293" s="127"/>
      <c r="O293" s="16"/>
      <c r="P293" s="147"/>
      <c r="Q293" s="147"/>
      <c r="R293" s="147"/>
      <c r="S293" s="147"/>
      <c r="T293" s="147"/>
      <c r="U293" s="217"/>
      <c r="V293" s="147"/>
      <c r="W293" s="147"/>
      <c r="X293" s="154"/>
      <c r="Y293" s="147"/>
      <c r="Z293" s="150"/>
      <c r="AA293" s="151"/>
      <c r="AB293" s="150"/>
      <c r="AC293" s="151"/>
      <c r="AD293" s="152"/>
      <c r="AE293" s="153"/>
      <c r="AF293" s="148"/>
      <c r="AG293" s="147"/>
      <c r="AH293" s="147"/>
    </row>
    <row r="294" spans="4:34" ht="18" hidden="1" customHeight="1">
      <c r="D294" s="15">
        <v>284</v>
      </c>
      <c r="E294" s="13" t="s">
        <v>669</v>
      </c>
      <c r="F294" s="15"/>
      <c r="G294" s="118"/>
      <c r="H294" s="126"/>
      <c r="I294" s="14"/>
      <c r="J294" s="48"/>
      <c r="K294" s="118"/>
      <c r="L294" s="118"/>
      <c r="M294" s="118"/>
      <c r="N294" s="127"/>
      <c r="O294" s="16"/>
      <c r="P294" s="147"/>
      <c r="Q294" s="147"/>
      <c r="R294" s="147"/>
      <c r="S294" s="147"/>
      <c r="T294" s="147"/>
      <c r="U294" s="217"/>
      <c r="V294" s="147"/>
      <c r="W294" s="147"/>
      <c r="X294" s="154"/>
      <c r="Y294" s="147"/>
      <c r="Z294" s="150"/>
      <c r="AA294" s="151"/>
      <c r="AB294" s="150"/>
      <c r="AC294" s="151"/>
      <c r="AD294" s="152"/>
      <c r="AE294" s="153"/>
      <c r="AF294" s="148"/>
      <c r="AG294" s="147"/>
      <c r="AH294" s="147"/>
    </row>
    <row r="295" spans="4:34" ht="18" hidden="1" customHeight="1">
      <c r="D295" s="13">
        <v>285</v>
      </c>
      <c r="E295" s="13" t="s">
        <v>670</v>
      </c>
      <c r="F295" s="15"/>
      <c r="G295" s="118"/>
      <c r="H295" s="126"/>
      <c r="I295" s="14"/>
      <c r="J295" s="48"/>
      <c r="K295" s="118"/>
      <c r="L295" s="118"/>
      <c r="M295" s="118"/>
      <c r="N295" s="127"/>
      <c r="O295" s="16"/>
      <c r="P295" s="147"/>
      <c r="Q295" s="147"/>
      <c r="R295" s="147"/>
      <c r="S295" s="147"/>
      <c r="T295" s="147"/>
      <c r="U295" s="217"/>
      <c r="V295" s="147"/>
      <c r="W295" s="147"/>
      <c r="X295" s="154"/>
      <c r="Y295" s="147"/>
      <c r="Z295" s="150"/>
      <c r="AA295" s="151"/>
      <c r="AB295" s="150"/>
      <c r="AC295" s="151"/>
      <c r="AD295" s="152"/>
      <c r="AE295" s="153"/>
      <c r="AF295" s="148"/>
      <c r="AG295" s="147"/>
      <c r="AH295" s="147"/>
    </row>
    <row r="296" spans="4:34" ht="18" hidden="1" customHeight="1">
      <c r="D296" s="15">
        <v>286</v>
      </c>
      <c r="E296" s="13" t="s">
        <v>671</v>
      </c>
      <c r="F296" s="15"/>
      <c r="G296" s="118"/>
      <c r="H296" s="126"/>
      <c r="I296" s="14"/>
      <c r="J296" s="48"/>
      <c r="K296" s="118"/>
      <c r="L296" s="118"/>
      <c r="M296" s="118"/>
      <c r="N296" s="127"/>
      <c r="O296" s="16"/>
      <c r="P296" s="147"/>
      <c r="Q296" s="147"/>
      <c r="R296" s="147"/>
      <c r="S296" s="147"/>
      <c r="T296" s="147"/>
      <c r="U296" s="217"/>
      <c r="V296" s="147"/>
      <c r="W296" s="147"/>
      <c r="X296" s="154"/>
      <c r="Y296" s="147"/>
      <c r="Z296" s="150"/>
      <c r="AA296" s="151"/>
      <c r="AB296" s="150"/>
      <c r="AC296" s="151"/>
      <c r="AD296" s="152"/>
      <c r="AE296" s="153"/>
      <c r="AF296" s="148"/>
      <c r="AG296" s="147"/>
      <c r="AH296" s="147"/>
    </row>
    <row r="297" spans="4:34" ht="18" hidden="1" customHeight="1">
      <c r="D297" s="13">
        <v>287</v>
      </c>
      <c r="E297" s="13" t="s">
        <v>672</v>
      </c>
      <c r="F297" s="15"/>
      <c r="G297" s="118"/>
      <c r="H297" s="126"/>
      <c r="I297" s="14"/>
      <c r="J297" s="48"/>
      <c r="K297" s="118"/>
      <c r="L297" s="118"/>
      <c r="M297" s="118"/>
      <c r="N297" s="127"/>
      <c r="O297" s="16"/>
      <c r="P297" s="147"/>
      <c r="Q297" s="147"/>
      <c r="R297" s="147"/>
      <c r="S297" s="147"/>
      <c r="T297" s="147"/>
      <c r="U297" s="217"/>
      <c r="V297" s="147"/>
      <c r="W297" s="147"/>
      <c r="X297" s="154"/>
      <c r="Y297" s="147"/>
      <c r="Z297" s="150"/>
      <c r="AA297" s="151"/>
      <c r="AB297" s="150"/>
      <c r="AC297" s="151"/>
      <c r="AD297" s="152"/>
      <c r="AE297" s="153"/>
      <c r="AF297" s="148"/>
      <c r="AG297" s="147"/>
      <c r="AH297" s="147"/>
    </row>
    <row r="298" spans="4:34" ht="18" hidden="1" customHeight="1">
      <c r="D298" s="15">
        <v>288</v>
      </c>
      <c r="E298" s="13" t="s">
        <v>673</v>
      </c>
      <c r="F298" s="15"/>
      <c r="G298" s="118"/>
      <c r="H298" s="126"/>
      <c r="I298" s="14"/>
      <c r="J298" s="48"/>
      <c r="K298" s="118"/>
      <c r="L298" s="118"/>
      <c r="M298" s="118"/>
      <c r="N298" s="127"/>
      <c r="O298" s="127"/>
      <c r="P298" s="147"/>
      <c r="Q298" s="147"/>
      <c r="R298" s="147"/>
      <c r="S298" s="147"/>
      <c r="T298" s="147"/>
      <c r="U298" s="217"/>
      <c r="V298" s="147"/>
      <c r="W298" s="147"/>
      <c r="X298" s="154"/>
      <c r="Y298" s="147"/>
      <c r="Z298" s="150"/>
      <c r="AA298" s="151"/>
      <c r="AB298" s="150"/>
      <c r="AC298" s="151"/>
      <c r="AD298" s="152"/>
      <c r="AE298" s="153"/>
      <c r="AF298" s="148"/>
      <c r="AG298" s="147"/>
      <c r="AH298" s="147"/>
    </row>
    <row r="299" spans="4:34" ht="18" hidden="1" customHeight="1">
      <c r="D299" s="13">
        <v>289</v>
      </c>
      <c r="E299" s="13" t="s">
        <v>674</v>
      </c>
      <c r="F299" s="15"/>
      <c r="G299" s="118"/>
      <c r="H299" s="126"/>
      <c r="I299" s="14"/>
      <c r="J299" s="48"/>
      <c r="K299" s="118"/>
      <c r="L299" s="118"/>
      <c r="M299" s="118"/>
      <c r="N299" s="127"/>
      <c r="O299" s="127"/>
      <c r="P299" s="147"/>
      <c r="Q299" s="147"/>
      <c r="R299" s="147"/>
      <c r="S299" s="147"/>
      <c r="T299" s="147"/>
      <c r="U299" s="217"/>
      <c r="V299" s="147"/>
      <c r="W299" s="147"/>
      <c r="X299" s="154"/>
      <c r="Y299" s="147"/>
      <c r="Z299" s="150"/>
      <c r="AA299" s="151"/>
      <c r="AB299" s="150"/>
      <c r="AC299" s="151"/>
      <c r="AD299" s="152"/>
      <c r="AE299" s="153"/>
      <c r="AF299" s="148"/>
      <c r="AG299" s="147"/>
      <c r="AH299" s="147"/>
    </row>
    <row r="300" spans="4:34" ht="18" hidden="1" customHeight="1">
      <c r="D300" s="15">
        <v>290</v>
      </c>
      <c r="E300" s="13" t="s">
        <v>675</v>
      </c>
      <c r="F300" s="15"/>
      <c r="G300" s="118"/>
      <c r="H300" s="126"/>
      <c r="I300" s="14"/>
      <c r="J300" s="48"/>
      <c r="K300" s="118"/>
      <c r="L300" s="118"/>
      <c r="M300" s="118"/>
      <c r="N300" s="127"/>
      <c r="O300" s="16"/>
      <c r="P300" s="147"/>
      <c r="Q300" s="147"/>
      <c r="R300" s="147"/>
      <c r="S300" s="147"/>
      <c r="T300" s="147"/>
      <c r="U300" s="217"/>
      <c r="V300" s="147"/>
      <c r="W300" s="147"/>
      <c r="X300" s="154"/>
      <c r="Y300" s="147"/>
      <c r="Z300" s="150"/>
      <c r="AA300" s="151"/>
      <c r="AB300" s="150"/>
      <c r="AC300" s="151"/>
      <c r="AD300" s="152"/>
      <c r="AE300" s="153"/>
      <c r="AF300" s="148"/>
      <c r="AG300" s="147"/>
      <c r="AH300" s="147"/>
    </row>
    <row r="301" spans="4:34" ht="18" hidden="1" customHeight="1">
      <c r="D301" s="13">
        <v>291</v>
      </c>
      <c r="E301" s="13" t="s">
        <v>676</v>
      </c>
      <c r="F301" s="15"/>
      <c r="G301" s="118"/>
      <c r="H301" s="126"/>
      <c r="I301" s="14"/>
      <c r="J301" s="48"/>
      <c r="K301" s="118"/>
      <c r="L301" s="118"/>
      <c r="M301" s="118"/>
      <c r="N301" s="127"/>
      <c r="O301" s="16"/>
      <c r="P301" s="147"/>
      <c r="Q301" s="147"/>
      <c r="R301" s="147"/>
      <c r="S301" s="228"/>
      <c r="T301" s="147"/>
      <c r="U301" s="217"/>
      <c r="V301" s="147"/>
      <c r="W301" s="147"/>
      <c r="X301" s="154"/>
      <c r="Y301" s="147"/>
      <c r="Z301" s="150"/>
      <c r="AA301" s="151"/>
      <c r="AB301" s="150"/>
      <c r="AC301" s="151"/>
      <c r="AD301" s="152"/>
      <c r="AE301" s="153"/>
      <c r="AF301" s="148"/>
      <c r="AG301" s="147"/>
      <c r="AH301" s="147"/>
    </row>
    <row r="302" spans="4:34" ht="18" hidden="1" customHeight="1">
      <c r="D302" s="15">
        <v>292</v>
      </c>
      <c r="E302" s="13" t="s">
        <v>677</v>
      </c>
      <c r="F302" s="15"/>
      <c r="G302" s="118"/>
      <c r="H302" s="126"/>
      <c r="I302" s="14"/>
      <c r="J302" s="48"/>
      <c r="K302" s="118"/>
      <c r="L302" s="118"/>
      <c r="M302" s="118"/>
      <c r="N302" s="230"/>
      <c r="O302" s="16"/>
      <c r="P302" s="147"/>
      <c r="Q302" s="147"/>
      <c r="R302" s="147"/>
      <c r="S302" s="228"/>
      <c r="T302" s="147"/>
      <c r="U302" s="217"/>
      <c r="V302" s="147"/>
      <c r="W302" s="147"/>
      <c r="X302" s="154"/>
      <c r="Y302" s="147"/>
      <c r="Z302" s="214"/>
      <c r="AA302" s="215"/>
      <c r="AB302" s="214"/>
      <c r="AC302" s="215"/>
      <c r="AD302" s="231"/>
      <c r="AE302" s="232"/>
      <c r="AF302" s="147"/>
      <c r="AG302" s="147"/>
      <c r="AH302" s="147"/>
    </row>
    <row r="303" spans="4:34" ht="18" hidden="1" customHeight="1">
      <c r="D303" s="13">
        <v>293</v>
      </c>
      <c r="E303" s="13" t="s">
        <v>678</v>
      </c>
      <c r="F303" s="15"/>
      <c r="G303" s="118"/>
      <c r="H303" s="126"/>
      <c r="I303" s="14"/>
      <c r="J303" s="48"/>
      <c r="K303" s="118"/>
      <c r="L303" s="118"/>
      <c r="M303" s="118"/>
      <c r="N303" s="127"/>
      <c r="O303" s="16"/>
      <c r="P303" s="147"/>
      <c r="Q303" s="147"/>
      <c r="R303" s="147"/>
      <c r="S303" s="147"/>
      <c r="T303" s="147"/>
      <c r="U303" s="217"/>
      <c r="V303" s="147"/>
      <c r="W303" s="147"/>
      <c r="X303" s="154"/>
      <c r="Y303" s="147"/>
      <c r="Z303" s="150"/>
      <c r="AA303" s="151"/>
      <c r="AB303" s="150"/>
      <c r="AC303" s="151"/>
      <c r="AD303" s="152"/>
      <c r="AE303" s="153"/>
      <c r="AF303" s="148"/>
      <c r="AG303" s="147"/>
      <c r="AH303" s="147"/>
    </row>
    <row r="304" spans="4:34" ht="18" hidden="1" customHeight="1">
      <c r="D304" s="15">
        <v>294</v>
      </c>
      <c r="E304" s="13" t="s">
        <v>679</v>
      </c>
      <c r="F304" s="15"/>
      <c r="G304" s="118"/>
      <c r="H304" s="126"/>
      <c r="I304" s="14"/>
      <c r="J304" s="48"/>
      <c r="K304" s="118"/>
      <c r="L304" s="118"/>
      <c r="M304" s="118"/>
      <c r="N304" s="127"/>
      <c r="O304" s="16"/>
      <c r="P304" s="147"/>
      <c r="Q304" s="147"/>
      <c r="R304" s="147"/>
      <c r="S304" s="147"/>
      <c r="T304" s="147"/>
      <c r="U304" s="217"/>
      <c r="V304" s="147"/>
      <c r="W304" s="147"/>
      <c r="X304" s="154"/>
      <c r="Y304" s="147"/>
      <c r="Z304" s="150"/>
      <c r="AA304" s="151"/>
      <c r="AB304" s="150"/>
      <c r="AC304" s="151"/>
      <c r="AD304" s="152"/>
      <c r="AE304" s="153"/>
      <c r="AF304" s="148"/>
      <c r="AG304" s="147"/>
      <c r="AH304" s="147"/>
    </row>
    <row r="305" spans="4:34" ht="18" hidden="1" customHeight="1">
      <c r="D305" s="13">
        <v>295</v>
      </c>
      <c r="E305" s="13" t="s">
        <v>680</v>
      </c>
      <c r="F305" s="15"/>
      <c r="G305" s="118"/>
      <c r="H305" s="126"/>
      <c r="I305" s="14"/>
      <c r="J305" s="48"/>
      <c r="K305" s="118"/>
      <c r="L305" s="118"/>
      <c r="M305" s="118"/>
      <c r="N305" s="127"/>
      <c r="O305" s="127"/>
      <c r="P305" s="147"/>
      <c r="Q305" s="147"/>
      <c r="R305" s="147"/>
      <c r="S305" s="147"/>
      <c r="T305" s="147"/>
      <c r="U305" s="217"/>
      <c r="V305" s="147"/>
      <c r="W305" s="147"/>
      <c r="X305" s="154"/>
      <c r="Y305" s="147"/>
      <c r="Z305" s="150"/>
      <c r="AA305" s="151"/>
      <c r="AB305" s="150"/>
      <c r="AC305" s="151"/>
      <c r="AD305" s="152"/>
      <c r="AE305" s="153"/>
      <c r="AF305" s="148"/>
      <c r="AG305" s="147"/>
      <c r="AH305" s="147"/>
    </row>
    <row r="306" spans="4:34" ht="18" hidden="1" customHeight="1">
      <c r="D306" s="15">
        <v>296</v>
      </c>
      <c r="E306" s="13" t="s">
        <v>681</v>
      </c>
      <c r="F306" s="15"/>
      <c r="G306" s="118"/>
      <c r="H306" s="126"/>
      <c r="I306" s="14"/>
      <c r="J306" s="48"/>
      <c r="K306" s="118"/>
      <c r="L306" s="118"/>
      <c r="M306" s="118"/>
      <c r="N306" s="127"/>
      <c r="O306" s="16"/>
      <c r="P306" s="147"/>
      <c r="Q306" s="147"/>
      <c r="R306" s="147"/>
      <c r="S306" s="147"/>
      <c r="T306" s="147"/>
      <c r="U306" s="217"/>
      <c r="V306" s="147"/>
      <c r="W306" s="147"/>
      <c r="X306" s="154"/>
      <c r="Y306" s="147"/>
      <c r="Z306" s="150"/>
      <c r="AA306" s="151"/>
      <c r="AB306" s="150"/>
      <c r="AC306" s="151"/>
      <c r="AD306" s="152"/>
      <c r="AE306" s="153"/>
      <c r="AF306" s="148"/>
      <c r="AG306" s="147"/>
      <c r="AH306" s="147"/>
    </row>
    <row r="307" spans="4:34" ht="18" hidden="1" customHeight="1">
      <c r="D307" s="13">
        <v>297</v>
      </c>
      <c r="E307" s="13" t="s">
        <v>682</v>
      </c>
      <c r="F307" s="15"/>
      <c r="G307" s="118"/>
      <c r="H307" s="126"/>
      <c r="I307" s="14"/>
      <c r="J307" s="48"/>
      <c r="K307" s="118"/>
      <c r="L307" s="118"/>
      <c r="M307" s="118"/>
      <c r="N307" s="127"/>
      <c r="O307" s="16"/>
      <c r="P307" s="147"/>
      <c r="Q307" s="147"/>
      <c r="R307" s="147"/>
      <c r="S307" s="147"/>
      <c r="T307" s="147"/>
      <c r="U307" s="217"/>
      <c r="V307" s="147"/>
      <c r="W307" s="147"/>
      <c r="X307" s="154"/>
      <c r="Y307" s="147"/>
      <c r="Z307" s="150"/>
      <c r="AA307" s="151"/>
      <c r="AB307" s="150"/>
      <c r="AC307" s="151"/>
      <c r="AD307" s="152"/>
      <c r="AE307" s="153"/>
      <c r="AF307" s="148"/>
      <c r="AG307" s="147"/>
      <c r="AH307" s="147"/>
    </row>
    <row r="308" spans="4:34" ht="18" hidden="1" customHeight="1">
      <c r="D308" s="15">
        <v>298</v>
      </c>
      <c r="E308" s="13" t="s">
        <v>683</v>
      </c>
      <c r="F308" s="15"/>
      <c r="G308" s="118"/>
      <c r="H308" s="126"/>
      <c r="I308" s="14"/>
      <c r="J308" s="48"/>
      <c r="K308" s="118"/>
      <c r="L308" s="118"/>
      <c r="M308" s="118"/>
      <c r="N308" s="127"/>
      <c r="O308" s="16"/>
      <c r="P308" s="147"/>
      <c r="Q308" s="147"/>
      <c r="R308" s="147"/>
      <c r="S308" s="147"/>
      <c r="T308" s="147"/>
      <c r="U308" s="217"/>
      <c r="V308" s="147"/>
      <c r="W308" s="147"/>
      <c r="X308" s="154"/>
      <c r="Y308" s="147"/>
      <c r="Z308" s="150"/>
      <c r="AA308" s="151"/>
      <c r="AB308" s="150"/>
      <c r="AC308" s="151"/>
      <c r="AD308" s="152"/>
      <c r="AE308" s="153"/>
      <c r="AF308" s="148"/>
      <c r="AG308" s="147"/>
      <c r="AH308" s="147"/>
    </row>
    <row r="309" spans="4:34" ht="18" hidden="1" customHeight="1">
      <c r="D309" s="13">
        <v>299</v>
      </c>
      <c r="E309" s="13" t="s">
        <v>684</v>
      </c>
      <c r="F309" s="15"/>
      <c r="G309" s="118"/>
      <c r="H309" s="126"/>
      <c r="I309" s="14"/>
      <c r="J309" s="48"/>
      <c r="K309" s="118"/>
      <c r="L309" s="118"/>
      <c r="M309" s="118"/>
      <c r="N309" s="127"/>
      <c r="O309" s="16"/>
      <c r="P309" s="147"/>
      <c r="Q309" s="147"/>
      <c r="R309" s="147"/>
      <c r="S309" s="147"/>
      <c r="T309" s="147"/>
      <c r="U309" s="217"/>
      <c r="V309" s="147"/>
      <c r="W309" s="147"/>
      <c r="X309" s="154"/>
      <c r="Y309" s="147"/>
      <c r="Z309" s="150"/>
      <c r="AA309" s="151"/>
      <c r="AB309" s="150"/>
      <c r="AC309" s="151"/>
      <c r="AD309" s="152"/>
      <c r="AE309" s="153"/>
      <c r="AF309" s="148"/>
      <c r="AG309" s="147"/>
      <c r="AH309" s="147"/>
    </row>
    <row r="310" spans="4:34" ht="18" hidden="1" customHeight="1">
      <c r="D310" s="15">
        <v>300</v>
      </c>
      <c r="E310" s="13" t="s">
        <v>685</v>
      </c>
      <c r="F310" s="15"/>
      <c r="G310" s="118"/>
      <c r="H310" s="126"/>
      <c r="I310" s="14"/>
      <c r="J310" s="48"/>
      <c r="K310" s="118"/>
      <c r="L310" s="118"/>
      <c r="M310" s="118"/>
      <c r="N310" s="127"/>
      <c r="O310" s="16"/>
      <c r="P310" s="147"/>
      <c r="Q310" s="147"/>
      <c r="R310" s="147"/>
      <c r="S310" s="147"/>
      <c r="T310" s="147"/>
      <c r="U310" s="217"/>
      <c r="V310" s="147"/>
      <c r="W310" s="147"/>
      <c r="X310" s="154"/>
      <c r="Y310" s="147"/>
      <c r="Z310" s="150"/>
      <c r="AA310" s="151"/>
      <c r="AB310" s="150"/>
      <c r="AC310" s="151"/>
      <c r="AD310" s="152"/>
      <c r="AE310" s="153"/>
      <c r="AF310" s="148"/>
      <c r="AG310" s="147"/>
      <c r="AH310" s="147"/>
    </row>
    <row r="311" spans="4:34" ht="18" hidden="1" customHeight="1">
      <c r="D311" s="13">
        <v>301</v>
      </c>
      <c r="E311" s="13" t="s">
        <v>686</v>
      </c>
      <c r="F311" s="15"/>
      <c r="G311" s="118"/>
      <c r="H311" s="126"/>
      <c r="I311" s="14"/>
      <c r="J311" s="48"/>
      <c r="K311" s="118"/>
      <c r="L311" s="118"/>
      <c r="M311" s="118"/>
      <c r="N311" s="127"/>
      <c r="O311" s="16"/>
      <c r="P311" s="147"/>
      <c r="Q311" s="147"/>
      <c r="R311" s="147"/>
      <c r="S311" s="147"/>
      <c r="T311" s="147"/>
      <c r="U311" s="217"/>
      <c r="V311" s="147"/>
      <c r="W311" s="147"/>
      <c r="X311" s="154"/>
      <c r="Y311" s="147"/>
      <c r="Z311" s="150"/>
      <c r="AA311" s="151"/>
      <c r="AB311" s="150"/>
      <c r="AC311" s="151"/>
      <c r="AD311" s="152"/>
      <c r="AE311" s="153"/>
      <c r="AF311" s="148"/>
      <c r="AG311" s="147"/>
      <c r="AH311" s="147"/>
    </row>
    <row r="312" spans="4:34" ht="18" hidden="1" customHeight="1" thickBot="1">
      <c r="D312" s="15">
        <v>302</v>
      </c>
      <c r="E312" s="13" t="s">
        <v>687</v>
      </c>
      <c r="F312" s="233"/>
      <c r="G312" s="234"/>
      <c r="H312" s="235"/>
      <c r="I312" s="14"/>
      <c r="J312" s="236"/>
      <c r="K312" s="234"/>
      <c r="L312" s="234"/>
      <c r="M312" s="234"/>
      <c r="N312" s="237"/>
      <c r="O312" s="238"/>
      <c r="P312" s="239"/>
      <c r="Q312" s="239"/>
      <c r="R312" s="239"/>
      <c r="S312" s="239"/>
      <c r="T312" s="239"/>
      <c r="U312" s="240"/>
      <c r="V312" s="239"/>
      <c r="W312" s="239"/>
      <c r="X312" s="241"/>
      <c r="Y312" s="239"/>
      <c r="Z312" s="242"/>
      <c r="AA312" s="243"/>
      <c r="AB312" s="242"/>
      <c r="AC312" s="243"/>
      <c r="AD312" s="244"/>
      <c r="AE312" s="245"/>
      <c r="AF312" s="246"/>
      <c r="AG312" s="239"/>
      <c r="AH312" s="239"/>
    </row>
    <row r="313" spans="4:34" ht="18" hidden="1" customHeight="1">
      <c r="D313" s="13"/>
      <c r="E313" s="13"/>
      <c r="F313" s="13"/>
      <c r="G313" s="117"/>
      <c r="H313" s="125"/>
      <c r="I313" s="14"/>
      <c r="J313" s="47"/>
      <c r="K313" s="118"/>
      <c r="L313" s="117"/>
      <c r="M313" s="117"/>
      <c r="N313" s="127"/>
      <c r="O313" s="229"/>
      <c r="P313" s="148"/>
      <c r="Q313" s="148"/>
      <c r="R313" s="148"/>
      <c r="S313" s="148"/>
      <c r="T313" s="148"/>
      <c r="U313" s="216"/>
      <c r="V313" s="148"/>
      <c r="W313" s="148"/>
      <c r="X313" s="149"/>
      <c r="Y313" s="148"/>
      <c r="Z313" s="150"/>
      <c r="AA313" s="151"/>
      <c r="AB313" s="150"/>
      <c r="AC313" s="151"/>
      <c r="AD313" s="152"/>
      <c r="AE313" s="153"/>
      <c r="AF313" s="148"/>
      <c r="AG313" s="148"/>
      <c r="AH313" s="148"/>
    </row>
    <row r="314" spans="4:34" ht="18" hidden="1" customHeight="1">
      <c r="D314" s="15"/>
      <c r="E314" s="13"/>
      <c r="F314" s="15"/>
      <c r="G314" s="118"/>
      <c r="H314" s="126"/>
      <c r="I314" s="14"/>
      <c r="J314" s="48"/>
      <c r="K314" s="118"/>
      <c r="L314" s="118"/>
      <c r="M314" s="118"/>
      <c r="N314" s="127"/>
      <c r="O314" s="16"/>
      <c r="P314" s="147"/>
      <c r="Q314" s="147"/>
      <c r="R314" s="147"/>
      <c r="S314" s="147"/>
      <c r="T314" s="147"/>
      <c r="U314" s="217"/>
      <c r="V314" s="147"/>
      <c r="W314" s="147"/>
      <c r="X314" s="154"/>
      <c r="Y314" s="147"/>
      <c r="Z314" s="150"/>
      <c r="AA314" s="151"/>
      <c r="AB314" s="150"/>
      <c r="AC314" s="151"/>
      <c r="AD314" s="152"/>
      <c r="AE314" s="153"/>
      <c r="AF314" s="148"/>
      <c r="AG314" s="147"/>
      <c r="AH314" s="147"/>
    </row>
    <row r="315" spans="4:34" ht="18" hidden="1" customHeight="1">
      <c r="D315" s="15"/>
      <c r="E315" s="13"/>
      <c r="F315" s="15"/>
      <c r="G315" s="118"/>
      <c r="H315" s="126"/>
      <c r="I315" s="14"/>
      <c r="J315" s="48"/>
      <c r="K315" s="118"/>
      <c r="L315" s="118"/>
      <c r="M315" s="118"/>
      <c r="N315" s="127"/>
      <c r="O315" s="16"/>
      <c r="P315" s="147"/>
      <c r="Q315" s="147"/>
      <c r="R315" s="147"/>
      <c r="S315" s="147"/>
      <c r="T315" s="147"/>
      <c r="U315" s="217"/>
      <c r="V315" s="147"/>
      <c r="W315" s="147"/>
      <c r="X315" s="154"/>
      <c r="Y315" s="147"/>
      <c r="Z315" s="150"/>
      <c r="AA315" s="151"/>
      <c r="AB315" s="150"/>
      <c r="AC315" s="151"/>
      <c r="AD315" s="152"/>
      <c r="AE315" s="153"/>
      <c r="AF315" s="148"/>
      <c r="AG315" s="147"/>
      <c r="AH315" s="147"/>
    </row>
    <row r="316" spans="4:34" ht="18" hidden="1" customHeight="1">
      <c r="D316" s="15"/>
      <c r="E316" s="13"/>
      <c r="F316" s="15"/>
      <c r="G316" s="118"/>
      <c r="H316" s="126"/>
      <c r="I316" s="14"/>
      <c r="J316" s="48"/>
      <c r="K316" s="118"/>
      <c r="L316" s="118"/>
      <c r="M316" s="118"/>
      <c r="N316" s="127"/>
      <c r="O316" s="16"/>
      <c r="P316" s="147"/>
      <c r="Q316" s="147"/>
      <c r="R316" s="147"/>
      <c r="S316" s="147"/>
      <c r="T316" s="147"/>
      <c r="U316" s="217"/>
      <c r="V316" s="147"/>
      <c r="W316" s="147"/>
      <c r="X316" s="154"/>
      <c r="Y316" s="147"/>
      <c r="Z316" s="150"/>
      <c r="AA316" s="151"/>
      <c r="AB316" s="150"/>
      <c r="AC316" s="151"/>
      <c r="AD316" s="152"/>
      <c r="AE316" s="153"/>
      <c r="AF316" s="148"/>
      <c r="AG316" s="147"/>
      <c r="AH316" s="147"/>
    </row>
    <row r="317" spans="4:34" ht="18" hidden="1" customHeight="1">
      <c r="D317" s="15"/>
      <c r="E317" s="13"/>
      <c r="F317" s="15"/>
      <c r="G317" s="118"/>
      <c r="H317" s="126"/>
      <c r="I317" s="14"/>
      <c r="J317" s="48"/>
      <c r="K317" s="118"/>
      <c r="L317" s="118"/>
      <c r="M317" s="118"/>
      <c r="N317" s="127"/>
      <c r="O317" s="16"/>
      <c r="P317" s="147"/>
      <c r="Q317" s="147"/>
      <c r="R317" s="147"/>
      <c r="S317" s="147"/>
      <c r="T317" s="147"/>
      <c r="U317" s="217"/>
      <c r="V317" s="147"/>
      <c r="W317" s="147"/>
      <c r="X317" s="154"/>
      <c r="Y317" s="147"/>
      <c r="Z317" s="150"/>
      <c r="AA317" s="151"/>
      <c r="AB317" s="150"/>
      <c r="AC317" s="151"/>
      <c r="AD317" s="152"/>
      <c r="AE317" s="153"/>
      <c r="AF317" s="148"/>
      <c r="AG317" s="147"/>
      <c r="AH317" s="147"/>
    </row>
    <row r="318" spans="4:34" ht="18" hidden="1" customHeight="1">
      <c r="D318" s="15"/>
      <c r="E318" s="13"/>
      <c r="F318" s="15"/>
      <c r="G318" s="118"/>
      <c r="H318" s="126"/>
      <c r="I318" s="14"/>
      <c r="J318" s="48"/>
      <c r="K318" s="118"/>
      <c r="L318" s="118"/>
      <c r="M318" s="118"/>
      <c r="N318" s="127"/>
      <c r="O318" s="16"/>
      <c r="P318" s="147"/>
      <c r="Q318" s="147"/>
      <c r="R318" s="147"/>
      <c r="S318" s="147"/>
      <c r="T318" s="147"/>
      <c r="U318" s="217"/>
      <c r="V318" s="147"/>
      <c r="W318" s="147"/>
      <c r="X318" s="154"/>
      <c r="Y318" s="147"/>
      <c r="Z318" s="150"/>
      <c r="AA318" s="151"/>
      <c r="AB318" s="150"/>
      <c r="AC318" s="151"/>
      <c r="AD318" s="152"/>
      <c r="AE318" s="153"/>
      <c r="AF318" s="148"/>
      <c r="AG318" s="147"/>
      <c r="AH318" s="147"/>
    </row>
    <row r="319" spans="4:34" ht="18" hidden="1" customHeight="1">
      <c r="D319" s="15"/>
      <c r="E319" s="13"/>
      <c r="F319" s="15"/>
      <c r="G319" s="118"/>
      <c r="H319" s="126"/>
      <c r="I319" s="14"/>
      <c r="J319" s="48"/>
      <c r="K319" s="118"/>
      <c r="L319" s="118"/>
      <c r="M319" s="118"/>
      <c r="N319" s="127"/>
      <c r="O319" s="16"/>
      <c r="P319" s="147"/>
      <c r="Q319" s="147"/>
      <c r="R319" s="147"/>
      <c r="S319" s="228"/>
      <c r="T319" s="147"/>
      <c r="U319" s="217"/>
      <c r="V319" s="147"/>
      <c r="W319" s="147"/>
      <c r="X319" s="154"/>
      <c r="Y319" s="147"/>
      <c r="Z319" s="150"/>
      <c r="AA319" s="151"/>
      <c r="AB319" s="150"/>
      <c r="AC319" s="151"/>
      <c r="AD319" s="152"/>
      <c r="AE319" s="153"/>
      <c r="AF319" s="148"/>
      <c r="AG319" s="147"/>
      <c r="AH319" s="147"/>
    </row>
    <row r="320" spans="4:34" ht="18" hidden="1" customHeight="1">
      <c r="D320" s="15"/>
      <c r="E320" s="13"/>
      <c r="F320" s="15"/>
      <c r="G320" s="118"/>
      <c r="H320" s="126"/>
      <c r="I320" s="14"/>
      <c r="J320" s="48"/>
      <c r="K320" s="118"/>
      <c r="L320" s="118"/>
      <c r="M320" s="118"/>
      <c r="N320" s="127"/>
      <c r="O320" s="16"/>
      <c r="P320" s="147"/>
      <c r="Q320" s="147"/>
      <c r="R320" s="147"/>
      <c r="S320" s="147"/>
      <c r="T320" s="147"/>
      <c r="U320" s="217"/>
      <c r="V320" s="147"/>
      <c r="W320" s="147"/>
      <c r="X320" s="154"/>
      <c r="Y320" s="147"/>
      <c r="Z320" s="150"/>
      <c r="AA320" s="151"/>
      <c r="AB320" s="150"/>
      <c r="AC320" s="151"/>
      <c r="AD320" s="152"/>
      <c r="AE320" s="153"/>
      <c r="AF320" s="148"/>
      <c r="AG320" s="147"/>
      <c r="AH320" s="147"/>
    </row>
    <row r="321" spans="4:34" ht="18" hidden="1" customHeight="1">
      <c r="D321" s="15"/>
      <c r="E321" s="13"/>
      <c r="F321" s="15"/>
      <c r="G321" s="118"/>
      <c r="H321" s="126"/>
      <c r="I321" s="14"/>
      <c r="J321" s="48"/>
      <c r="K321" s="118"/>
      <c r="L321" s="118"/>
      <c r="M321" s="118"/>
      <c r="N321" s="127"/>
      <c r="O321" s="16"/>
      <c r="P321" s="147"/>
      <c r="Q321" s="147"/>
      <c r="R321" s="147"/>
      <c r="S321" s="147"/>
      <c r="T321" s="147"/>
      <c r="U321" s="217"/>
      <c r="V321" s="147"/>
      <c r="W321" s="147"/>
      <c r="X321" s="154"/>
      <c r="Y321" s="147"/>
      <c r="Z321" s="150"/>
      <c r="AA321" s="151"/>
      <c r="AB321" s="150"/>
      <c r="AC321" s="151"/>
      <c r="AD321" s="152"/>
      <c r="AE321" s="153"/>
      <c r="AF321" s="148"/>
      <c r="AG321" s="147"/>
      <c r="AH321" s="147"/>
    </row>
    <row r="322" spans="4:34" ht="18" hidden="1" customHeight="1">
      <c r="D322" s="15"/>
      <c r="E322" s="13"/>
      <c r="F322" s="15"/>
      <c r="G322" s="118"/>
      <c r="H322" s="126"/>
      <c r="I322" s="14"/>
      <c r="J322" s="48"/>
      <c r="K322" s="118"/>
      <c r="L322" s="118"/>
      <c r="M322" s="118"/>
      <c r="N322" s="127"/>
      <c r="O322" s="16"/>
      <c r="P322" s="147"/>
      <c r="Q322" s="147"/>
      <c r="R322" s="147"/>
      <c r="S322" s="147"/>
      <c r="T322" s="147"/>
      <c r="U322" s="217"/>
      <c r="V322" s="147"/>
      <c r="W322" s="147"/>
      <c r="X322" s="154"/>
      <c r="Y322" s="147"/>
      <c r="Z322" s="150"/>
      <c r="AA322" s="151"/>
      <c r="AB322" s="150"/>
      <c r="AC322" s="151"/>
      <c r="AD322" s="152"/>
      <c r="AE322" s="153"/>
      <c r="AF322" s="148"/>
      <c r="AG322" s="147"/>
      <c r="AH322" s="147"/>
    </row>
    <row r="323" spans="4:34" ht="18" hidden="1" customHeight="1">
      <c r="D323" s="15"/>
      <c r="E323" s="13"/>
      <c r="F323" s="15"/>
      <c r="G323" s="118"/>
      <c r="H323" s="126"/>
      <c r="I323" s="14"/>
      <c r="J323" s="48"/>
      <c r="K323" s="118"/>
      <c r="L323" s="118"/>
      <c r="M323" s="118"/>
      <c r="N323" s="127"/>
      <c r="O323" s="16"/>
      <c r="P323" s="147"/>
      <c r="Q323" s="147"/>
      <c r="R323" s="147"/>
      <c r="S323" s="147"/>
      <c r="T323" s="147"/>
      <c r="U323" s="217"/>
      <c r="V323" s="147"/>
      <c r="W323" s="147"/>
      <c r="X323" s="154"/>
      <c r="Y323" s="147"/>
      <c r="Z323" s="150"/>
      <c r="AA323" s="151"/>
      <c r="AB323" s="150"/>
      <c r="AC323" s="151"/>
      <c r="AD323" s="152"/>
      <c r="AE323" s="153"/>
      <c r="AF323" s="148"/>
      <c r="AG323" s="147"/>
      <c r="AH323" s="147"/>
    </row>
    <row r="324" spans="4:34" ht="18" hidden="1" customHeight="1">
      <c r="D324" s="15"/>
      <c r="E324" s="13"/>
      <c r="F324" s="15"/>
      <c r="G324" s="118"/>
      <c r="H324" s="126"/>
      <c r="I324" s="14"/>
      <c r="J324" s="48"/>
      <c r="K324" s="118"/>
      <c r="L324" s="118"/>
      <c r="M324" s="118"/>
      <c r="N324" s="127"/>
      <c r="O324" s="16"/>
      <c r="P324" s="147"/>
      <c r="Q324" s="147"/>
      <c r="R324" s="147"/>
      <c r="S324" s="147"/>
      <c r="T324" s="147"/>
      <c r="U324" s="217"/>
      <c r="V324" s="147"/>
      <c r="W324" s="147"/>
      <c r="X324" s="154"/>
      <c r="Y324" s="147"/>
      <c r="Z324" s="150"/>
      <c r="AA324" s="151"/>
      <c r="AB324" s="150"/>
      <c r="AC324" s="151"/>
      <c r="AD324" s="152"/>
      <c r="AE324" s="153"/>
      <c r="AF324" s="148"/>
      <c r="AG324" s="147"/>
      <c r="AH324" s="147"/>
    </row>
    <row r="325" spans="4:34" ht="18" hidden="1" customHeight="1">
      <c r="D325" s="15"/>
      <c r="E325" s="13"/>
      <c r="F325" s="15"/>
      <c r="G325" s="118"/>
      <c r="H325" s="126"/>
      <c r="I325" s="14"/>
      <c r="J325" s="48"/>
      <c r="K325" s="118"/>
      <c r="L325" s="118"/>
      <c r="M325" s="118"/>
      <c r="N325" s="127"/>
      <c r="O325" s="16"/>
      <c r="P325" s="147"/>
      <c r="Q325" s="147"/>
      <c r="R325" s="147"/>
      <c r="S325" s="147"/>
      <c r="T325" s="147"/>
      <c r="U325" s="217"/>
      <c r="V325" s="147"/>
      <c r="W325" s="147"/>
      <c r="X325" s="154"/>
      <c r="Y325" s="147"/>
      <c r="Z325" s="150"/>
      <c r="AA325" s="151"/>
      <c r="AB325" s="150"/>
      <c r="AC325" s="151"/>
      <c r="AD325" s="152"/>
      <c r="AE325" s="153"/>
      <c r="AF325" s="148"/>
      <c r="AG325" s="147"/>
      <c r="AH325" s="147"/>
    </row>
    <row r="326" spans="4:34" ht="18" hidden="1" customHeight="1">
      <c r="D326" s="15"/>
      <c r="E326" s="13"/>
      <c r="F326" s="15"/>
      <c r="G326" s="118"/>
      <c r="H326" s="126"/>
      <c r="I326" s="14"/>
      <c r="J326" s="48"/>
      <c r="K326" s="118"/>
      <c r="L326" s="118"/>
      <c r="M326" s="118"/>
      <c r="N326" s="127"/>
      <c r="O326" s="16"/>
      <c r="P326" s="147"/>
      <c r="Q326" s="147"/>
      <c r="R326" s="147"/>
      <c r="S326" s="147"/>
      <c r="T326" s="147"/>
      <c r="U326" s="217"/>
      <c r="V326" s="147"/>
      <c r="W326" s="147"/>
      <c r="X326" s="154"/>
      <c r="Y326" s="147"/>
      <c r="Z326" s="150"/>
      <c r="AA326" s="151"/>
      <c r="AB326" s="150"/>
      <c r="AC326" s="151"/>
      <c r="AD326" s="152"/>
      <c r="AE326" s="153"/>
      <c r="AF326" s="148"/>
      <c r="AG326" s="147"/>
      <c r="AH326" s="147"/>
    </row>
    <row r="327" spans="4:34" ht="18" hidden="1" customHeight="1">
      <c r="D327" s="15"/>
      <c r="E327" s="13"/>
      <c r="F327" s="15"/>
      <c r="G327" s="118"/>
      <c r="H327" s="126"/>
      <c r="I327" s="14"/>
      <c r="J327" s="48"/>
      <c r="K327" s="118"/>
      <c r="L327" s="118"/>
      <c r="M327" s="118"/>
      <c r="N327" s="127"/>
      <c r="O327" s="16"/>
      <c r="P327" s="147"/>
      <c r="Q327" s="147"/>
      <c r="R327" s="147"/>
      <c r="S327" s="147"/>
      <c r="T327" s="147"/>
      <c r="U327" s="217"/>
      <c r="V327" s="147"/>
      <c r="W327" s="147"/>
      <c r="X327" s="154"/>
      <c r="Y327" s="147"/>
      <c r="Z327" s="150"/>
      <c r="AA327" s="151"/>
      <c r="AB327" s="150"/>
      <c r="AC327" s="151"/>
      <c r="AD327" s="152"/>
      <c r="AE327" s="153"/>
      <c r="AF327" s="148"/>
      <c r="AG327" s="147"/>
      <c r="AH327" s="147"/>
    </row>
    <row r="328" spans="4:34" ht="18" hidden="1" customHeight="1">
      <c r="D328" s="15"/>
      <c r="E328" s="13"/>
      <c r="F328" s="15"/>
      <c r="G328" s="118"/>
      <c r="H328" s="126"/>
      <c r="I328" s="14"/>
      <c r="J328" s="48"/>
      <c r="K328" s="118"/>
      <c r="L328" s="118"/>
      <c r="M328" s="118"/>
      <c r="N328" s="127"/>
      <c r="O328" s="16"/>
      <c r="P328" s="147"/>
      <c r="Q328" s="147"/>
      <c r="R328" s="147"/>
      <c r="S328" s="147"/>
      <c r="T328" s="147"/>
      <c r="U328" s="217"/>
      <c r="V328" s="147"/>
      <c r="W328" s="147"/>
      <c r="X328" s="154"/>
      <c r="Y328" s="147"/>
      <c r="Z328" s="150"/>
      <c r="AA328" s="151"/>
      <c r="AB328" s="150"/>
      <c r="AC328" s="151"/>
      <c r="AD328" s="152"/>
      <c r="AE328" s="153"/>
      <c r="AF328" s="148"/>
      <c r="AG328" s="147"/>
      <c r="AH328" s="147"/>
    </row>
    <row r="329" spans="4:34" ht="18" hidden="1" customHeight="1">
      <c r="D329" s="15"/>
      <c r="E329" s="13"/>
      <c r="F329" s="15"/>
      <c r="G329" s="118"/>
      <c r="H329" s="126"/>
      <c r="I329" s="14"/>
      <c r="J329" s="48"/>
      <c r="K329" s="118"/>
      <c r="L329" s="118"/>
      <c r="M329" s="118"/>
      <c r="N329" s="127"/>
      <c r="O329" s="16"/>
      <c r="P329" s="147"/>
      <c r="Q329" s="147"/>
      <c r="R329" s="147"/>
      <c r="S329" s="147"/>
      <c r="T329" s="147"/>
      <c r="U329" s="217"/>
      <c r="V329" s="147"/>
      <c r="W329" s="147"/>
      <c r="X329" s="154"/>
      <c r="Y329" s="147"/>
      <c r="Z329" s="150"/>
      <c r="AA329" s="151"/>
      <c r="AB329" s="150"/>
      <c r="AC329" s="151"/>
      <c r="AD329" s="152"/>
      <c r="AE329" s="153"/>
      <c r="AF329" s="148"/>
      <c r="AG329" s="147"/>
      <c r="AH329" s="147"/>
    </row>
    <row r="330" spans="4:34" ht="18" hidden="1" customHeight="1">
      <c r="D330" s="15"/>
      <c r="E330" s="13"/>
      <c r="F330" s="15"/>
      <c r="G330" s="118"/>
      <c r="H330" s="126"/>
      <c r="I330" s="14"/>
      <c r="J330" s="48"/>
      <c r="K330" s="118"/>
      <c r="L330" s="118"/>
      <c r="M330" s="118"/>
      <c r="N330" s="127"/>
      <c r="O330" s="16"/>
      <c r="P330" s="147"/>
      <c r="Q330" s="147"/>
      <c r="R330" s="147"/>
      <c r="S330" s="147"/>
      <c r="T330" s="147"/>
      <c r="U330" s="217"/>
      <c r="V330" s="147"/>
      <c r="W330" s="147"/>
      <c r="X330" s="154"/>
      <c r="Y330" s="147"/>
      <c r="Z330" s="150"/>
      <c r="AA330" s="151"/>
      <c r="AB330" s="150"/>
      <c r="AC330" s="151"/>
      <c r="AD330" s="152"/>
      <c r="AE330" s="153"/>
      <c r="AF330" s="148"/>
      <c r="AG330" s="147"/>
      <c r="AH330" s="147"/>
    </row>
    <row r="331" spans="4:34" ht="18" hidden="1" customHeight="1">
      <c r="D331" s="15"/>
      <c r="E331" s="13"/>
      <c r="F331" s="15"/>
      <c r="G331" s="118"/>
      <c r="H331" s="126"/>
      <c r="I331" s="14"/>
      <c r="J331" s="48"/>
      <c r="K331" s="118"/>
      <c r="L331" s="118"/>
      <c r="M331" s="118"/>
      <c r="N331" s="127"/>
      <c r="O331" s="16"/>
      <c r="P331" s="147"/>
      <c r="Q331" s="147"/>
      <c r="R331" s="147"/>
      <c r="S331" s="147"/>
      <c r="T331" s="147"/>
      <c r="U331" s="217"/>
      <c r="V331" s="147"/>
      <c r="W331" s="147"/>
      <c r="X331" s="154"/>
      <c r="Y331" s="147"/>
      <c r="Z331" s="150"/>
      <c r="AA331" s="151"/>
      <c r="AB331" s="150"/>
      <c r="AC331" s="151"/>
      <c r="AD331" s="152"/>
      <c r="AE331" s="153"/>
      <c r="AF331" s="148"/>
      <c r="AG331" s="147"/>
      <c r="AH331" s="147"/>
    </row>
    <row r="332" spans="4:34" ht="18" hidden="1" customHeight="1">
      <c r="D332" s="15"/>
      <c r="E332" s="13"/>
      <c r="F332" s="15"/>
      <c r="G332" s="118"/>
      <c r="H332" s="126"/>
      <c r="I332" s="14"/>
      <c r="J332" s="48"/>
      <c r="K332" s="118"/>
      <c r="L332" s="118"/>
      <c r="M332" s="118"/>
      <c r="N332" s="127"/>
      <c r="O332" s="16"/>
      <c r="P332" s="147"/>
      <c r="Q332" s="147"/>
      <c r="R332" s="147"/>
      <c r="S332" s="147"/>
      <c r="T332" s="147"/>
      <c r="U332" s="217"/>
      <c r="V332" s="147"/>
      <c r="W332" s="147"/>
      <c r="X332" s="154"/>
      <c r="Y332" s="147"/>
      <c r="Z332" s="150"/>
      <c r="AA332" s="151"/>
      <c r="AB332" s="150"/>
      <c r="AC332" s="151"/>
      <c r="AD332" s="152"/>
      <c r="AE332" s="153"/>
      <c r="AF332" s="148"/>
      <c r="AG332" s="147"/>
      <c r="AH332" s="147"/>
    </row>
    <row r="333" spans="4:34" ht="18" hidden="1" customHeight="1">
      <c r="D333" s="15"/>
      <c r="E333" s="13"/>
      <c r="F333" s="15"/>
      <c r="G333" s="118"/>
      <c r="H333" s="126"/>
      <c r="I333" s="14"/>
      <c r="J333" s="48"/>
      <c r="K333" s="118"/>
      <c r="L333" s="118"/>
      <c r="M333" s="118"/>
      <c r="N333" s="127"/>
      <c r="O333" s="16"/>
      <c r="P333" s="147"/>
      <c r="Q333" s="147"/>
      <c r="R333" s="147"/>
      <c r="S333" s="147"/>
      <c r="T333" s="147"/>
      <c r="U333" s="217"/>
      <c r="V333" s="147"/>
      <c r="W333" s="147"/>
      <c r="X333" s="154"/>
      <c r="Y333" s="147"/>
      <c r="Z333" s="150"/>
      <c r="AA333" s="151"/>
      <c r="AB333" s="150"/>
      <c r="AC333" s="151"/>
      <c r="AD333" s="152"/>
      <c r="AE333" s="153"/>
      <c r="AF333" s="148"/>
      <c r="AG333" s="147"/>
      <c r="AH333" s="147"/>
    </row>
    <row r="334" spans="4:34" ht="18" hidden="1" customHeight="1">
      <c r="D334" s="15"/>
      <c r="E334" s="13"/>
      <c r="F334" s="15"/>
      <c r="G334" s="118"/>
      <c r="H334" s="126"/>
      <c r="I334" s="14"/>
      <c r="J334" s="48"/>
      <c r="K334" s="118"/>
      <c r="L334" s="118"/>
      <c r="M334" s="118"/>
      <c r="N334" s="127"/>
      <c r="O334" s="16"/>
      <c r="P334" s="147"/>
      <c r="Q334" s="147"/>
      <c r="R334" s="147"/>
      <c r="S334" s="147"/>
      <c r="T334" s="147"/>
      <c r="U334" s="217"/>
      <c r="V334" s="147"/>
      <c r="W334" s="147"/>
      <c r="X334" s="154"/>
      <c r="Y334" s="147"/>
      <c r="Z334" s="150"/>
      <c r="AA334" s="151"/>
      <c r="AB334" s="150"/>
      <c r="AC334" s="151"/>
      <c r="AD334" s="152"/>
      <c r="AE334" s="153"/>
      <c r="AF334" s="148"/>
      <c r="AG334" s="147"/>
      <c r="AH334" s="147"/>
    </row>
    <row r="335" spans="4:34" ht="18" hidden="1" customHeight="1">
      <c r="D335" s="15"/>
      <c r="E335" s="13"/>
      <c r="F335" s="15"/>
      <c r="G335" s="118"/>
      <c r="H335" s="126"/>
      <c r="I335" s="14"/>
      <c r="J335" s="48"/>
      <c r="K335" s="118"/>
      <c r="L335" s="118"/>
      <c r="M335" s="118"/>
      <c r="N335" s="127"/>
      <c r="O335" s="16"/>
      <c r="P335" s="147"/>
      <c r="Q335" s="147"/>
      <c r="R335" s="147"/>
      <c r="S335" s="147"/>
      <c r="T335" s="147"/>
      <c r="U335" s="217"/>
      <c r="V335" s="147"/>
      <c r="W335" s="147"/>
      <c r="X335" s="154"/>
      <c r="Y335" s="147"/>
      <c r="Z335" s="150"/>
      <c r="AA335" s="151"/>
      <c r="AB335" s="150"/>
      <c r="AC335" s="151"/>
      <c r="AD335" s="152"/>
      <c r="AE335" s="153"/>
      <c r="AF335" s="148"/>
      <c r="AG335" s="147"/>
      <c r="AH335" s="147"/>
    </row>
    <row r="336" spans="4:34" ht="18" hidden="1" customHeight="1">
      <c r="D336" s="15"/>
      <c r="E336" s="13"/>
      <c r="F336" s="15"/>
      <c r="G336" s="118"/>
      <c r="H336" s="126"/>
      <c r="I336" s="14"/>
      <c r="J336" s="48"/>
      <c r="K336" s="118"/>
      <c r="L336" s="118"/>
      <c r="M336" s="118"/>
      <c r="N336" s="127"/>
      <c r="O336" s="16"/>
      <c r="P336" s="147"/>
      <c r="Q336" s="147"/>
      <c r="R336" s="147"/>
      <c r="S336" s="147"/>
      <c r="T336" s="147"/>
      <c r="U336" s="217"/>
      <c r="V336" s="147"/>
      <c r="W336" s="147"/>
      <c r="X336" s="154"/>
      <c r="Y336" s="147"/>
      <c r="Z336" s="150"/>
      <c r="AA336" s="151"/>
      <c r="AB336" s="150"/>
      <c r="AC336" s="151"/>
      <c r="AD336" s="152"/>
      <c r="AE336" s="153"/>
      <c r="AF336" s="148"/>
      <c r="AG336" s="147"/>
      <c r="AH336" s="147"/>
    </row>
    <row r="337" spans="4:34" ht="18" hidden="1" customHeight="1">
      <c r="D337" s="15"/>
      <c r="E337" s="13"/>
      <c r="F337" s="15"/>
      <c r="G337" s="118"/>
      <c r="H337" s="126"/>
      <c r="I337" s="14"/>
      <c r="J337" s="48"/>
      <c r="K337" s="118"/>
      <c r="L337" s="118"/>
      <c r="M337" s="118"/>
      <c r="N337" s="127"/>
      <c r="O337" s="16"/>
      <c r="P337" s="147"/>
      <c r="Q337" s="147"/>
      <c r="R337" s="147"/>
      <c r="S337" s="147"/>
      <c r="T337" s="147"/>
      <c r="U337" s="217"/>
      <c r="V337" s="147"/>
      <c r="W337" s="147"/>
      <c r="X337" s="154"/>
      <c r="Y337" s="147"/>
      <c r="Z337" s="150"/>
      <c r="AA337" s="151"/>
      <c r="AB337" s="150"/>
      <c r="AC337" s="151"/>
      <c r="AD337" s="152"/>
      <c r="AE337" s="153"/>
      <c r="AF337" s="148"/>
      <c r="AG337" s="147"/>
      <c r="AH337" s="147"/>
    </row>
    <row r="338" spans="4:34" ht="18" hidden="1" customHeight="1">
      <c r="D338" s="15"/>
      <c r="E338" s="13"/>
      <c r="F338" s="15"/>
      <c r="G338" s="118"/>
      <c r="H338" s="126"/>
      <c r="I338" s="14"/>
      <c r="J338" s="48"/>
      <c r="K338" s="118"/>
      <c r="L338" s="118"/>
      <c r="M338" s="118"/>
      <c r="N338" s="127"/>
      <c r="O338" s="16"/>
      <c r="P338" s="147"/>
      <c r="Q338" s="147"/>
      <c r="R338" s="147"/>
      <c r="S338" s="147"/>
      <c r="T338" s="147"/>
      <c r="U338" s="217"/>
      <c r="V338" s="147"/>
      <c r="W338" s="147"/>
      <c r="X338" s="154"/>
      <c r="Y338" s="147"/>
      <c r="Z338" s="150"/>
      <c r="AA338" s="151"/>
      <c r="AB338" s="150"/>
      <c r="AC338" s="151"/>
      <c r="AD338" s="152"/>
      <c r="AE338" s="153"/>
      <c r="AF338" s="148"/>
      <c r="AG338" s="147"/>
      <c r="AH338" s="147"/>
    </row>
    <row r="339" spans="4:34" ht="18" hidden="1" customHeight="1">
      <c r="D339" s="15"/>
      <c r="E339" s="13"/>
      <c r="F339" s="15"/>
      <c r="G339" s="118"/>
      <c r="H339" s="126"/>
      <c r="I339" s="14"/>
      <c r="J339" s="48"/>
      <c r="K339" s="118"/>
      <c r="L339" s="118"/>
      <c r="M339" s="118"/>
      <c r="N339" s="127"/>
      <c r="O339" s="16"/>
      <c r="P339" s="147"/>
      <c r="Q339" s="147"/>
      <c r="R339" s="147"/>
      <c r="S339" s="147"/>
      <c r="T339" s="147"/>
      <c r="U339" s="217"/>
      <c r="V339" s="147"/>
      <c r="W339" s="147"/>
      <c r="X339" s="154"/>
      <c r="Y339" s="147"/>
      <c r="Z339" s="150"/>
      <c r="AA339" s="151"/>
      <c r="AB339" s="150"/>
      <c r="AC339" s="151"/>
      <c r="AD339" s="152"/>
      <c r="AE339" s="153"/>
      <c r="AF339" s="148"/>
      <c r="AG339" s="147"/>
      <c r="AH339" s="147"/>
    </row>
    <row r="340" spans="4:34" ht="18" hidden="1" customHeight="1">
      <c r="D340" s="15"/>
      <c r="E340" s="13"/>
      <c r="F340" s="15"/>
      <c r="G340" s="118"/>
      <c r="H340" s="126"/>
      <c r="I340" s="14"/>
      <c r="J340" s="48"/>
      <c r="K340" s="118"/>
      <c r="L340" s="118"/>
      <c r="M340" s="118"/>
      <c r="N340" s="127"/>
      <c r="O340" s="16"/>
      <c r="P340" s="147"/>
      <c r="Q340" s="147"/>
      <c r="R340" s="147"/>
      <c r="S340" s="147"/>
      <c r="T340" s="147"/>
      <c r="U340" s="217"/>
      <c r="V340" s="147"/>
      <c r="W340" s="147"/>
      <c r="X340" s="154"/>
      <c r="Y340" s="147"/>
      <c r="Z340" s="150"/>
      <c r="AA340" s="151"/>
      <c r="AB340" s="150"/>
      <c r="AC340" s="151"/>
      <c r="AD340" s="152"/>
      <c r="AE340" s="153"/>
      <c r="AF340" s="148"/>
      <c r="AG340" s="147"/>
      <c r="AH340" s="147"/>
    </row>
    <row r="341" spans="4:34" ht="18" hidden="1" customHeight="1">
      <c r="D341" s="15"/>
      <c r="E341" s="13"/>
      <c r="F341" s="15"/>
      <c r="G341" s="118"/>
      <c r="H341" s="126"/>
      <c r="I341" s="14"/>
      <c r="J341" s="48"/>
      <c r="K341" s="118"/>
      <c r="L341" s="118"/>
      <c r="M341" s="118"/>
      <c r="N341" s="127"/>
      <c r="O341" s="16"/>
      <c r="P341" s="147"/>
      <c r="Q341" s="147"/>
      <c r="R341" s="147"/>
      <c r="S341" s="147"/>
      <c r="T341" s="147"/>
      <c r="U341" s="217"/>
      <c r="V341" s="147"/>
      <c r="W341" s="147"/>
      <c r="X341" s="154"/>
      <c r="Y341" s="147"/>
      <c r="Z341" s="150"/>
      <c r="AA341" s="151"/>
      <c r="AB341" s="150"/>
      <c r="AC341" s="151"/>
      <c r="AD341" s="152"/>
      <c r="AE341" s="153"/>
      <c r="AF341" s="148"/>
      <c r="AG341" s="147"/>
      <c r="AH341" s="147"/>
    </row>
    <row r="342" spans="4:34" ht="18" hidden="1" customHeight="1">
      <c r="D342" s="15"/>
      <c r="E342" s="13"/>
      <c r="F342" s="15"/>
      <c r="G342" s="118"/>
      <c r="H342" s="126"/>
      <c r="I342" s="14"/>
      <c r="J342" s="48"/>
      <c r="K342" s="118"/>
      <c r="L342" s="118"/>
      <c r="M342" s="118"/>
      <c r="N342" s="127"/>
      <c r="O342" s="16"/>
      <c r="P342" s="147"/>
      <c r="Q342" s="147"/>
      <c r="R342" s="147"/>
      <c r="S342" s="147"/>
      <c r="T342" s="147"/>
      <c r="U342" s="217"/>
      <c r="V342" s="147"/>
      <c r="W342" s="147"/>
      <c r="X342" s="154"/>
      <c r="Y342" s="147"/>
      <c r="Z342" s="150"/>
      <c r="AA342" s="151"/>
      <c r="AB342" s="150"/>
      <c r="AC342" s="151"/>
      <c r="AD342" s="152"/>
      <c r="AE342" s="153"/>
      <c r="AF342" s="148"/>
      <c r="AG342" s="147"/>
      <c r="AH342" s="147"/>
    </row>
    <row r="343" spans="4:34" ht="18" hidden="1" customHeight="1">
      <c r="D343" s="15"/>
      <c r="E343" s="13"/>
      <c r="F343" s="15"/>
      <c r="G343" s="118"/>
      <c r="H343" s="126"/>
      <c r="I343" s="14"/>
      <c r="J343" s="48"/>
      <c r="K343" s="118"/>
      <c r="L343" s="118"/>
      <c r="M343" s="118"/>
      <c r="N343" s="127"/>
      <c r="O343" s="16"/>
      <c r="P343" s="147"/>
      <c r="Q343" s="147"/>
      <c r="R343" s="147"/>
      <c r="S343" s="147"/>
      <c r="T343" s="147"/>
      <c r="U343" s="217"/>
      <c r="V343" s="147"/>
      <c r="W343" s="147"/>
      <c r="X343" s="154"/>
      <c r="Y343" s="147"/>
      <c r="Z343" s="150"/>
      <c r="AA343" s="151"/>
      <c r="AB343" s="150"/>
      <c r="AC343" s="151"/>
      <c r="AD343" s="152"/>
      <c r="AE343" s="153"/>
      <c r="AF343" s="148"/>
      <c r="AG343" s="147"/>
      <c r="AH343" s="147"/>
    </row>
    <row r="344" spans="4:34" ht="18" hidden="1" customHeight="1">
      <c r="D344" s="15"/>
      <c r="E344" s="13"/>
      <c r="F344" s="15"/>
      <c r="G344" s="118"/>
      <c r="H344" s="126"/>
      <c r="I344" s="14"/>
      <c r="J344" s="48"/>
      <c r="K344" s="118"/>
      <c r="L344" s="118"/>
      <c r="M344" s="118"/>
      <c r="N344" s="127"/>
      <c r="O344" s="16"/>
      <c r="P344" s="147"/>
      <c r="Q344" s="147"/>
      <c r="R344" s="147"/>
      <c r="S344" s="147"/>
      <c r="T344" s="147"/>
      <c r="U344" s="217"/>
      <c r="V344" s="147"/>
      <c r="W344" s="147"/>
      <c r="X344" s="154"/>
      <c r="Y344" s="147"/>
      <c r="Z344" s="150"/>
      <c r="AA344" s="151"/>
      <c r="AB344" s="150"/>
      <c r="AC344" s="151"/>
      <c r="AD344" s="152"/>
      <c r="AE344" s="153"/>
      <c r="AF344" s="148"/>
      <c r="AG344" s="147"/>
      <c r="AH344" s="147"/>
    </row>
    <row r="345" spans="4:34" ht="18" hidden="1" customHeight="1">
      <c r="D345" s="15"/>
      <c r="E345" s="13"/>
      <c r="F345" s="15"/>
      <c r="G345" s="118"/>
      <c r="H345" s="126"/>
      <c r="I345" s="14"/>
      <c r="J345" s="48"/>
      <c r="K345" s="118"/>
      <c r="L345" s="118"/>
      <c r="M345" s="118"/>
      <c r="N345" s="127"/>
      <c r="O345" s="16"/>
      <c r="P345" s="147"/>
      <c r="Q345" s="147"/>
      <c r="R345" s="147"/>
      <c r="S345" s="147"/>
      <c r="T345" s="147"/>
      <c r="U345" s="217"/>
      <c r="V345" s="147"/>
      <c r="W345" s="147"/>
      <c r="X345" s="154"/>
      <c r="Y345" s="147"/>
      <c r="Z345" s="150"/>
      <c r="AA345" s="151"/>
      <c r="AB345" s="150"/>
      <c r="AC345" s="151"/>
      <c r="AD345" s="152"/>
      <c r="AE345" s="153"/>
      <c r="AF345" s="148"/>
      <c r="AG345" s="147"/>
      <c r="AH345" s="147"/>
    </row>
    <row r="346" spans="4:34" ht="18" hidden="1" customHeight="1">
      <c r="D346" s="15"/>
      <c r="E346" s="13"/>
      <c r="F346" s="15"/>
      <c r="G346" s="118"/>
      <c r="H346" s="126"/>
      <c r="I346" s="14"/>
      <c r="J346" s="48"/>
      <c r="K346" s="118"/>
      <c r="L346" s="118"/>
      <c r="M346" s="118"/>
      <c r="N346" s="127"/>
      <c r="O346" s="16"/>
      <c r="P346" s="147"/>
      <c r="Q346" s="147"/>
      <c r="R346" s="147"/>
      <c r="S346" s="147"/>
      <c r="T346" s="147"/>
      <c r="U346" s="217"/>
      <c r="V346" s="147"/>
      <c r="W346" s="147"/>
      <c r="X346" s="154"/>
      <c r="Y346" s="147"/>
      <c r="Z346" s="150"/>
      <c r="AA346" s="151"/>
      <c r="AB346" s="150"/>
      <c r="AC346" s="151"/>
      <c r="AD346" s="152"/>
      <c r="AE346" s="153"/>
      <c r="AF346" s="148"/>
      <c r="AG346" s="147"/>
      <c r="AH346" s="147"/>
    </row>
    <row r="347" spans="4:34" ht="18" hidden="1" customHeight="1">
      <c r="D347" s="15"/>
      <c r="E347" s="13"/>
      <c r="F347" s="15"/>
      <c r="G347" s="118"/>
      <c r="H347" s="126"/>
      <c r="I347" s="14"/>
      <c r="J347" s="48"/>
      <c r="K347" s="118"/>
      <c r="L347" s="118"/>
      <c r="M347" s="118"/>
      <c r="N347" s="127"/>
      <c r="O347" s="16"/>
      <c r="P347" s="147"/>
      <c r="Q347" s="147"/>
      <c r="R347" s="147"/>
      <c r="S347" s="147"/>
      <c r="T347" s="147"/>
      <c r="U347" s="217"/>
      <c r="V347" s="147"/>
      <c r="W347" s="147"/>
      <c r="X347" s="154"/>
      <c r="Y347" s="147"/>
      <c r="Z347" s="150"/>
      <c r="AA347" s="151"/>
      <c r="AB347" s="150"/>
      <c r="AC347" s="151"/>
      <c r="AD347" s="152"/>
      <c r="AE347" s="153"/>
      <c r="AF347" s="148"/>
      <c r="AG347" s="147"/>
      <c r="AH347" s="147"/>
    </row>
    <row r="348" spans="4:34" ht="18" hidden="1" customHeight="1">
      <c r="D348" s="15"/>
      <c r="E348" s="13"/>
      <c r="F348" s="15"/>
      <c r="G348" s="118"/>
      <c r="H348" s="126"/>
      <c r="I348" s="14"/>
      <c r="J348" s="48"/>
      <c r="K348" s="118"/>
      <c r="L348" s="118"/>
      <c r="M348" s="118"/>
      <c r="N348" s="127"/>
      <c r="O348" s="16"/>
      <c r="P348" s="147"/>
      <c r="Q348" s="147"/>
      <c r="R348" s="147"/>
      <c r="S348" s="147"/>
      <c r="T348" s="147"/>
      <c r="U348" s="217"/>
      <c r="V348" s="147"/>
      <c r="W348" s="147"/>
      <c r="X348" s="154"/>
      <c r="Y348" s="147"/>
      <c r="Z348" s="150"/>
      <c r="AA348" s="151"/>
      <c r="AB348" s="150"/>
      <c r="AC348" s="151"/>
      <c r="AD348" s="152">
        <f t="shared" ref="AD348:AD356" si="0">IF(AND(AA348&lt;&gt;0,AC348&lt;&gt;0),AC348-AA348,0)</f>
        <v>0</v>
      </c>
      <c r="AE348" s="153" t="str">
        <f t="array" ref="AE348">IFERROR(IF(AND(K348="Machinery",M348="Break Down"),AC348-J348,""),"")</f>
        <v/>
      </c>
      <c r="AF348" s="148"/>
      <c r="AG348" s="147"/>
      <c r="AH348" s="147"/>
    </row>
    <row r="349" spans="4:34" ht="18" hidden="1" customHeight="1">
      <c r="D349" s="15"/>
      <c r="E349" s="13"/>
      <c r="F349" s="15"/>
      <c r="G349" s="118"/>
      <c r="H349" s="126"/>
      <c r="I349" s="14"/>
      <c r="J349" s="48"/>
      <c r="K349" s="118"/>
      <c r="L349" s="118"/>
      <c r="M349" s="118"/>
      <c r="N349" s="127"/>
      <c r="O349" s="16"/>
      <c r="P349" s="147"/>
      <c r="Q349" s="147"/>
      <c r="R349" s="147"/>
      <c r="S349" s="147"/>
      <c r="T349" s="147"/>
      <c r="U349" s="217"/>
      <c r="V349" s="147"/>
      <c r="W349" s="147"/>
      <c r="X349" s="154"/>
      <c r="Y349" s="147"/>
      <c r="Z349" s="150"/>
      <c r="AA349" s="151"/>
      <c r="AB349" s="150"/>
      <c r="AC349" s="151"/>
      <c r="AD349" s="152">
        <f t="shared" si="0"/>
        <v>0</v>
      </c>
      <c r="AE349" s="153" t="str">
        <f t="array" ref="AE349">IFERROR(IF(AND(K349="Machinery",M349="Break Down"),AC349-J349,""),"")</f>
        <v/>
      </c>
      <c r="AF349" s="148"/>
      <c r="AG349" s="147"/>
      <c r="AH349" s="147"/>
    </row>
    <row r="350" spans="4:34" ht="18" hidden="1" customHeight="1">
      <c r="D350" s="15"/>
      <c r="E350" s="13"/>
      <c r="F350" s="15"/>
      <c r="G350" s="118"/>
      <c r="H350" s="126"/>
      <c r="I350" s="14"/>
      <c r="J350" s="48"/>
      <c r="K350" s="118"/>
      <c r="L350" s="118"/>
      <c r="M350" s="118"/>
      <c r="N350" s="127"/>
      <c r="O350" s="16"/>
      <c r="P350" s="147"/>
      <c r="Q350" s="147"/>
      <c r="R350" s="147"/>
      <c r="S350" s="147"/>
      <c r="T350" s="147"/>
      <c r="U350" s="217"/>
      <c r="V350" s="147"/>
      <c r="W350" s="147"/>
      <c r="X350" s="154"/>
      <c r="Y350" s="147"/>
      <c r="Z350" s="150"/>
      <c r="AA350" s="151"/>
      <c r="AB350" s="150"/>
      <c r="AC350" s="151"/>
      <c r="AD350" s="152">
        <f t="shared" si="0"/>
        <v>0</v>
      </c>
      <c r="AE350" s="153" t="str">
        <f t="array" ref="AE350">IFERROR(IF(AND(K350="Machinery",M350="Break Down"),AC350-J350,""),"")</f>
        <v/>
      </c>
      <c r="AF350" s="148"/>
      <c r="AG350" s="147"/>
      <c r="AH350" s="147"/>
    </row>
    <row r="351" spans="4:34" ht="18" hidden="1" customHeight="1">
      <c r="D351" s="15"/>
      <c r="E351" s="13"/>
      <c r="F351" s="15"/>
      <c r="G351" s="118"/>
      <c r="H351" s="126"/>
      <c r="I351" s="14"/>
      <c r="J351" s="48"/>
      <c r="K351" s="118"/>
      <c r="L351" s="118"/>
      <c r="M351" s="118"/>
      <c r="N351" s="127"/>
      <c r="O351" s="16"/>
      <c r="P351" s="147"/>
      <c r="Q351" s="147"/>
      <c r="R351" s="147"/>
      <c r="S351" s="147"/>
      <c r="T351" s="147"/>
      <c r="U351" s="217"/>
      <c r="V351" s="147"/>
      <c r="W351" s="147"/>
      <c r="X351" s="154"/>
      <c r="Y351" s="147"/>
      <c r="Z351" s="150"/>
      <c r="AA351" s="151"/>
      <c r="AB351" s="150"/>
      <c r="AC351" s="151"/>
      <c r="AD351" s="152">
        <f t="shared" si="0"/>
        <v>0</v>
      </c>
      <c r="AE351" s="153" t="str">
        <f t="array" ref="AE351">IFERROR(IF(AND(K351="Machinery",M351="Break Down"),AC351-J351,""),"")</f>
        <v/>
      </c>
      <c r="AF351" s="148"/>
      <c r="AG351" s="147"/>
      <c r="AH351" s="147"/>
    </row>
    <row r="352" spans="4:34" ht="18" hidden="1" customHeight="1">
      <c r="D352" s="15"/>
      <c r="E352" s="13"/>
      <c r="F352" s="15"/>
      <c r="G352" s="118"/>
      <c r="H352" s="126"/>
      <c r="I352" s="14"/>
      <c r="J352" s="48"/>
      <c r="K352" s="118"/>
      <c r="L352" s="118"/>
      <c r="M352" s="118"/>
      <c r="N352" s="127"/>
      <c r="O352" s="16"/>
      <c r="P352" s="147"/>
      <c r="Q352" s="147"/>
      <c r="R352" s="147"/>
      <c r="S352" s="147"/>
      <c r="T352" s="147"/>
      <c r="U352" s="217"/>
      <c r="V352" s="147"/>
      <c r="W352" s="147"/>
      <c r="X352" s="154"/>
      <c r="Y352" s="147"/>
      <c r="Z352" s="150"/>
      <c r="AA352" s="151"/>
      <c r="AB352" s="150"/>
      <c r="AC352" s="151"/>
      <c r="AD352" s="152">
        <f t="shared" si="0"/>
        <v>0</v>
      </c>
      <c r="AE352" s="153" t="str">
        <f t="array" ref="AE352">IFERROR(IF(AND(K352="Machinery",M352="Break Down"),AC352-J352,""),"")</f>
        <v/>
      </c>
      <c r="AF352" s="148"/>
      <c r="AG352" s="147"/>
      <c r="AH352" s="147"/>
    </row>
    <row r="353" spans="4:34" ht="18" hidden="1" customHeight="1">
      <c r="D353" s="15"/>
      <c r="E353" s="13"/>
      <c r="F353" s="15"/>
      <c r="G353" s="118"/>
      <c r="H353" s="126"/>
      <c r="I353" s="14"/>
      <c r="J353" s="48"/>
      <c r="K353" s="118"/>
      <c r="L353" s="118"/>
      <c r="M353" s="118"/>
      <c r="N353" s="127"/>
      <c r="O353" s="16"/>
      <c r="P353" s="147"/>
      <c r="Q353" s="147"/>
      <c r="R353" s="147"/>
      <c r="S353" s="147"/>
      <c r="T353" s="147"/>
      <c r="U353" s="217"/>
      <c r="V353" s="147"/>
      <c r="W353" s="147"/>
      <c r="X353" s="154"/>
      <c r="Y353" s="147"/>
      <c r="Z353" s="150"/>
      <c r="AA353" s="151"/>
      <c r="AB353" s="150"/>
      <c r="AC353" s="151"/>
      <c r="AD353" s="152">
        <f t="shared" si="0"/>
        <v>0</v>
      </c>
      <c r="AE353" s="153" t="str">
        <f t="array" ref="AE353">IFERROR(IF(AND(K353="Machinery",M353="Break Down"),AC353-J353,""),"")</f>
        <v/>
      </c>
      <c r="AF353" s="148"/>
      <c r="AG353" s="147"/>
      <c r="AH353" s="147"/>
    </row>
    <row r="354" spans="4:34" ht="18" hidden="1" customHeight="1">
      <c r="D354" s="15"/>
      <c r="E354" s="13"/>
      <c r="F354" s="15"/>
      <c r="G354" s="118"/>
      <c r="H354" s="126"/>
      <c r="I354" s="14"/>
      <c r="J354" s="48"/>
      <c r="K354" s="118"/>
      <c r="L354" s="118"/>
      <c r="M354" s="118"/>
      <c r="N354" s="127"/>
      <c r="O354" s="16"/>
      <c r="P354" s="147"/>
      <c r="Q354" s="147"/>
      <c r="R354" s="147"/>
      <c r="S354" s="147"/>
      <c r="T354" s="147"/>
      <c r="U354" s="217"/>
      <c r="V354" s="147"/>
      <c r="W354" s="147"/>
      <c r="X354" s="154"/>
      <c r="Y354" s="147"/>
      <c r="Z354" s="150"/>
      <c r="AA354" s="151"/>
      <c r="AB354" s="150"/>
      <c r="AC354" s="151"/>
      <c r="AD354" s="152">
        <f t="shared" si="0"/>
        <v>0</v>
      </c>
      <c r="AE354" s="153" t="str">
        <f t="array" ref="AE354">IFERROR(IF(AND(K354="Machinery",M354="Break Down"),AC354-J354,""),"")</f>
        <v/>
      </c>
      <c r="AF354" s="148"/>
      <c r="AG354" s="147"/>
      <c r="AH354" s="147"/>
    </row>
    <row r="355" spans="4:34" ht="18" hidden="1" customHeight="1">
      <c r="D355" s="15"/>
      <c r="E355" s="13"/>
      <c r="F355" s="15"/>
      <c r="G355" s="118"/>
      <c r="H355" s="126"/>
      <c r="I355" s="14"/>
      <c r="J355" s="48"/>
      <c r="K355" s="118"/>
      <c r="L355" s="118"/>
      <c r="M355" s="118"/>
      <c r="N355" s="127"/>
      <c r="O355" s="16"/>
      <c r="P355" s="147"/>
      <c r="Q355" s="147"/>
      <c r="R355" s="147"/>
      <c r="S355" s="147"/>
      <c r="T355" s="147"/>
      <c r="U355" s="217"/>
      <c r="V355" s="147"/>
      <c r="W355" s="147"/>
      <c r="X355" s="154"/>
      <c r="Y355" s="147"/>
      <c r="Z355" s="150"/>
      <c r="AA355" s="151"/>
      <c r="AB355" s="150"/>
      <c r="AC355" s="151"/>
      <c r="AD355" s="152">
        <f t="shared" si="0"/>
        <v>0</v>
      </c>
      <c r="AE355" s="153" t="str">
        <f t="array" ref="AE355">IFERROR(IF(AND(K355="Machinery",M355="Break Down"),AC355-J355,""),"")</f>
        <v/>
      </c>
      <c r="AF355" s="148"/>
      <c r="AG355" s="147"/>
      <c r="AH355" s="147"/>
    </row>
    <row r="356" spans="4:34" ht="18" hidden="1" customHeight="1">
      <c r="D356" s="15"/>
      <c r="E356" s="13"/>
      <c r="F356" s="15"/>
      <c r="G356" s="118"/>
      <c r="H356" s="126"/>
      <c r="I356" s="14"/>
      <c r="J356" s="48"/>
      <c r="K356" s="118"/>
      <c r="L356" s="118"/>
      <c r="M356" s="118"/>
      <c r="N356" s="127"/>
      <c r="O356" s="16"/>
      <c r="P356" s="147"/>
      <c r="Q356" s="147"/>
      <c r="R356" s="147"/>
      <c r="S356" s="147"/>
      <c r="T356" s="147"/>
      <c r="U356" s="217"/>
      <c r="V356" s="147"/>
      <c r="W356" s="147"/>
      <c r="X356" s="154"/>
      <c r="Y356" s="147"/>
      <c r="Z356" s="150"/>
      <c r="AA356" s="151"/>
      <c r="AB356" s="150"/>
      <c r="AC356" s="151"/>
      <c r="AD356" s="152">
        <f t="shared" si="0"/>
        <v>0</v>
      </c>
      <c r="AE356" s="153" t="str">
        <f t="array" ref="AE356">IFERROR(IF(AND(K356="Machinery",M356="Break Down"),AC356-J356,""),"")</f>
        <v/>
      </c>
      <c r="AF356" s="148"/>
      <c r="AG356" s="147"/>
      <c r="AH356" s="147"/>
    </row>
    <row r="357" spans="4:34" ht="18" hidden="1" customHeight="1">
      <c r="D357" s="15"/>
      <c r="E357" s="13"/>
      <c r="F357" s="15"/>
      <c r="G357" s="118"/>
      <c r="H357" s="126"/>
      <c r="I357" s="14"/>
      <c r="J357" s="48"/>
      <c r="K357" s="118"/>
      <c r="L357" s="118"/>
      <c r="M357" s="118"/>
      <c r="N357" s="127"/>
      <c r="O357" s="16"/>
      <c r="P357" s="147"/>
      <c r="Q357" s="147"/>
      <c r="R357" s="147"/>
      <c r="S357" s="147"/>
      <c r="T357" s="147"/>
      <c r="U357" s="217"/>
      <c r="V357" s="147"/>
      <c r="W357" s="147"/>
      <c r="X357" s="154"/>
      <c r="Y357" s="147"/>
      <c r="Z357" s="150"/>
      <c r="AA357" s="151"/>
      <c r="AB357" s="150"/>
      <c r="AC357" s="151"/>
      <c r="AD357" s="152"/>
      <c r="AE357" s="153" t="str">
        <f t="array" ref="AE357">IFERROR(IF(AND(K357="Machinery",M357="Break Down"),AC357-J357,""),"")</f>
        <v/>
      </c>
      <c r="AF357" s="148"/>
      <c r="AG357" s="147"/>
      <c r="AH357" s="147"/>
    </row>
    <row r="358" spans="4:34" ht="18" hidden="1" customHeight="1">
      <c r="D358" s="15"/>
      <c r="E358" s="13"/>
      <c r="F358" s="15"/>
      <c r="G358" s="118"/>
      <c r="H358" s="126"/>
      <c r="I358" s="14"/>
      <c r="J358" s="48"/>
      <c r="K358" s="118"/>
      <c r="L358" s="118"/>
      <c r="M358" s="118"/>
      <c r="N358" s="127"/>
      <c r="O358" s="16"/>
      <c r="P358" s="147"/>
      <c r="Q358" s="147"/>
      <c r="R358" s="147"/>
      <c r="S358" s="147"/>
      <c r="T358" s="147"/>
      <c r="U358" s="217"/>
      <c r="V358" s="147"/>
      <c r="W358" s="147"/>
      <c r="X358" s="154"/>
      <c r="Y358" s="147"/>
      <c r="Z358" s="150"/>
      <c r="AA358" s="151"/>
      <c r="AB358" s="150"/>
      <c r="AC358" s="151"/>
      <c r="AD358" s="152"/>
      <c r="AE358" s="153" t="str">
        <f t="array" ref="AE358">IFERROR(IF(AND(K358="Machinery",M358="Break Down"),AC358-J358,""),"")</f>
        <v/>
      </c>
      <c r="AF358" s="148"/>
      <c r="AG358" s="147"/>
      <c r="AH358" s="147"/>
    </row>
    <row r="359" spans="4:34" ht="18" hidden="1" customHeight="1">
      <c r="D359" s="15"/>
      <c r="E359" s="13"/>
      <c r="F359" s="15"/>
      <c r="G359" s="118"/>
      <c r="H359" s="126"/>
      <c r="I359" s="14"/>
      <c r="J359" s="48"/>
      <c r="K359" s="118"/>
      <c r="L359" s="118"/>
      <c r="M359" s="118"/>
      <c r="N359" s="127"/>
      <c r="O359" s="16"/>
      <c r="P359" s="147"/>
      <c r="Q359" s="147"/>
      <c r="R359" s="147"/>
      <c r="S359" s="147"/>
      <c r="T359" s="147"/>
      <c r="U359" s="217"/>
      <c r="V359" s="147"/>
      <c r="W359" s="147"/>
      <c r="X359" s="154"/>
      <c r="Y359" s="147"/>
      <c r="Z359" s="150"/>
      <c r="AA359" s="151"/>
      <c r="AB359" s="150"/>
      <c r="AC359" s="151"/>
      <c r="AD359" s="152"/>
      <c r="AE359" s="153" t="str">
        <f t="array" ref="AE359">IFERROR(IF(AND(K359="Machinery",M359="Break Down"),AC359-J359,""),"")</f>
        <v/>
      </c>
      <c r="AF359" s="148"/>
      <c r="AG359" s="147"/>
      <c r="AH359" s="147"/>
    </row>
    <row r="360" spans="4:34" ht="18" hidden="1" customHeight="1">
      <c r="D360" s="15"/>
      <c r="E360" s="13"/>
      <c r="F360" s="15"/>
      <c r="G360" s="118"/>
      <c r="H360" s="126"/>
      <c r="I360" s="14"/>
      <c r="J360" s="48"/>
      <c r="K360" s="118"/>
      <c r="L360" s="118"/>
      <c r="M360" s="118"/>
      <c r="N360" s="127"/>
      <c r="O360" s="16"/>
      <c r="P360" s="147"/>
      <c r="Q360" s="147"/>
      <c r="R360" s="147"/>
      <c r="S360" s="147"/>
      <c r="T360" s="147"/>
      <c r="U360" s="217"/>
      <c r="V360" s="147"/>
      <c r="W360" s="147"/>
      <c r="X360" s="154"/>
      <c r="Y360" s="147"/>
      <c r="Z360" s="150"/>
      <c r="AA360" s="151"/>
      <c r="AB360" s="150"/>
      <c r="AC360" s="151"/>
      <c r="AD360" s="152"/>
      <c r="AE360" s="153" t="str">
        <f t="array" ref="AE360">IFERROR(IF(AND(K360="Machinery",M360="Break Down"),AC360-J360,""),"")</f>
        <v/>
      </c>
      <c r="AF360" s="148"/>
      <c r="AG360" s="147"/>
      <c r="AH360" s="147"/>
    </row>
    <row r="361" spans="4:34" ht="18" hidden="1" customHeight="1">
      <c r="D361" s="15"/>
      <c r="E361" s="13"/>
      <c r="F361" s="15"/>
      <c r="G361" s="118"/>
      <c r="H361" s="126"/>
      <c r="I361" s="14"/>
      <c r="J361" s="48"/>
      <c r="K361" s="118"/>
      <c r="L361" s="118"/>
      <c r="M361" s="118"/>
      <c r="N361" s="127"/>
      <c r="O361" s="16"/>
      <c r="P361" s="147"/>
      <c r="Q361" s="147"/>
      <c r="R361" s="147"/>
      <c r="S361" s="147"/>
      <c r="T361" s="147"/>
      <c r="U361" s="217"/>
      <c r="V361" s="147"/>
      <c r="W361" s="147"/>
      <c r="X361" s="154"/>
      <c r="Y361" s="147"/>
      <c r="Z361" s="150"/>
      <c r="AA361" s="151"/>
      <c r="AB361" s="150"/>
      <c r="AC361" s="151"/>
      <c r="AD361" s="152"/>
      <c r="AE361" s="153" t="str">
        <f t="array" ref="AE361">IFERROR(IF(AND(K361="Machinery",M361="Break Down"),AC361-J361,""),"")</f>
        <v/>
      </c>
      <c r="AF361" s="148"/>
      <c r="AG361" s="147"/>
      <c r="AH361" s="147"/>
    </row>
    <row r="362" spans="4:34" ht="18" hidden="1" customHeight="1">
      <c r="D362" s="15"/>
      <c r="E362" s="13"/>
      <c r="F362" s="15"/>
      <c r="G362" s="118"/>
      <c r="H362" s="126"/>
      <c r="I362" s="14"/>
      <c r="J362" s="48"/>
      <c r="K362" s="118"/>
      <c r="L362" s="118"/>
      <c r="M362" s="118"/>
      <c r="N362" s="127"/>
      <c r="O362" s="16"/>
      <c r="P362" s="147"/>
      <c r="Q362" s="147"/>
      <c r="R362" s="147"/>
      <c r="S362" s="147"/>
      <c r="T362" s="147"/>
      <c r="U362" s="217"/>
      <c r="V362" s="147"/>
      <c r="W362" s="147"/>
      <c r="X362" s="154"/>
      <c r="Y362" s="147"/>
      <c r="Z362" s="150"/>
      <c r="AA362" s="151"/>
      <c r="AB362" s="150"/>
      <c r="AC362" s="151"/>
      <c r="AD362" s="152"/>
      <c r="AE362" s="153" t="str">
        <f t="array" ref="AE362">IFERROR(IF(AND(K362="Machinery",M362="Break Down"),AC362-J362,""),"")</f>
        <v/>
      </c>
      <c r="AF362" s="148"/>
      <c r="AG362" s="147"/>
      <c r="AH362" s="147"/>
    </row>
  </sheetData>
  <autoFilter ref="F10:AE362" xr:uid="{00000000-0009-0000-0000-000000000000}">
    <filterColumn colId="1">
      <filters>
        <filter val="IT"/>
      </filters>
    </filterColumn>
  </autoFilter>
  <customSheetViews>
    <customSheetView guid="{725C6403-CA7F-4F2C-9A0D-0A8F381A2CAD}" scale="80" showPageBreaks="1" showGridLines="0" showRowCol="0" fitToPage="1" printArea="1" showAutoFilter="1">
      <pane ySplit="10" topLeftCell="A305" activePane="bottomLeft" state="frozenSplit"/>
      <selection pane="bottomLeft" activeCell="M327" sqref="M327"/>
      <pageMargins left="0.7" right="0.7" top="0.75" bottom="0.75" header="0.3" footer="0.3"/>
      <pageSetup paperSize="8" scale="39" orientation="landscape"/>
      <autoFilter ref="F10:M362" xr:uid="{CE611732-D331-4AE0-A969-0D8A2F3E63DF}"/>
    </customSheetView>
    <customSheetView guid="{78AF171D-678D-4785-AAA3-E13B4851B7AE}" scale="80" showPageBreaks="1" showGridLines="0" showRowCol="0" fitToPage="1" printArea="1" showAutoFilter="1">
      <pane xSplit="11" ySplit="10" topLeftCell="O292" activePane="bottomRight" state="frozenSplit"/>
      <selection pane="bottomRight" activeCell="F309" sqref="F309"/>
      <pageMargins left="0.7" right="0.7" top="0.75" bottom="0.75" header="0.3" footer="0.3"/>
      <pageSetup paperSize="8" scale="25" orientation="landscape"/>
      <autoFilter ref="F10:F362" xr:uid="{F74F5D27-EF57-4112-B648-14C1EAF767E2}"/>
    </customSheetView>
    <customSheetView guid="{A3E2F7B2-EDD4-496B-AB8C-6D4480FC978E}" scale="80" showPageBreaks="1" showGridLines="0" showRowCol="0" showAutoFilter="1">
      <pane xSplit="13" ySplit="10" topLeftCell="N311" activePane="bottomRight" state="frozenSplit"/>
      <selection pane="bottomRight" activeCell="N325" sqref="N325"/>
      <pageMargins left="0.7" right="0.7" top="0.75" bottom="0.75" header="0.3" footer="0.3"/>
      <pageSetup paperSize="9" orientation="portrait"/>
      <autoFilter ref="F10:F362" xr:uid="{022ADFD0-E1B4-427C-86F2-123B170153D0}"/>
    </customSheetView>
    <customSheetView guid="{92E2A3D6-6865-4A95-8F02-7FDA997293A9}" scale="80" showPageBreaks="1" showGridLines="0" showRowCol="0" showAutoFilter="1">
      <pane xSplit="11" ySplit="10" topLeftCell="L305" activePane="bottomRight" state="frozenSplit"/>
      <selection pane="bottomRight" activeCell="O322" sqref="O322"/>
      <pageMargins left="0.7" right="0.7" top="0.75" bottom="0.75" header="0.3" footer="0.3"/>
      <pageSetup paperSize="0" orientation="portrait" horizontalDpi="0" verticalDpi="0" copies="0"/>
      <autoFilter ref="F10:F362" xr:uid="{C84996CA-BA26-46E1-A4B2-FC3359082ED1}"/>
    </customSheetView>
    <customSheetView guid="{D2673080-F890-47E1-8D19-24DC44CD3D17}" scale="80" showPageBreaks="1" showGridLines="0" showRowCol="0" showAutoFilter="1">
      <pane xSplit="11" ySplit="10" topLeftCell="L305" activePane="bottomRight" state="frozenSplit"/>
      <selection pane="bottomRight" activeCell="O318" sqref="O318"/>
      <pageMargins left="0.7" right="0.7" top="0.75" bottom="0.75" header="0.3" footer="0.3"/>
      <pageSetup paperSize="9" orientation="portrait"/>
      <autoFilter ref="F10:F362" xr:uid="{65AC04BC-00BA-4BBD-B4B3-ADDEA1188CF3}"/>
    </customSheetView>
    <customSheetView guid="{3C44DCB8-AE21-460C-BE83-16ED4ECEF164}" scale="80" showPageBreaks="1" showGridLines="0" showRowCol="0" showAutoFilter="1">
      <pane xSplit="11" ySplit="10" topLeftCell="M305" activePane="bottomRight" state="frozenSplit"/>
      <selection pane="bottomRight" activeCell="O313" sqref="O313"/>
      <pageMargins left="0.7" right="0.7" top="0.75" bottom="0.75" header="0.3" footer="0.3"/>
      <pageSetup paperSize="9" orientation="portrait"/>
      <autoFilter ref="F10:F362" xr:uid="{A55F4331-15F6-4332-B414-491C1AD01DA6}"/>
    </customSheetView>
    <customSheetView guid="{C8668995-1005-4688-A6EB-A2F3AE31A309}" scale="80" showGridLines="0" showRowCol="0" showAutoFilter="1">
      <pane xSplit="11" ySplit="10" topLeftCell="L287" activePane="bottomRight" state="frozenSplit"/>
      <selection pane="bottomRight" activeCell="O302" sqref="O302"/>
      <pageMargins left="0.7" right="0.7" top="0.75" bottom="0.75" header="0.3" footer="0.3"/>
      <pageSetup paperSize="9" orientation="portrait"/>
      <autoFilter ref="F10:F310" xr:uid="{994FB4E6-D169-42CB-9E1F-A8BC76A08338}"/>
    </customSheetView>
    <customSheetView guid="{A67533C0-DC49-40DE-AEF5-5C17FB95027C}" scale="80" showPageBreaks="1" showGridLines="0" showRowCol="0" fitToPage="1" printArea="1" showAutoFilter="1">
      <pane xSplit="11" ySplit="10" topLeftCell="L266" activePane="bottomRight" state="frozenSplit"/>
      <selection pane="bottomRight" activeCell="O280" sqref="O280"/>
      <pageMargins left="0.7" right="0.7" top="0.75" bottom="0.75" header="0.3" footer="0.3"/>
      <pageSetup paperSize="8" scale="39" orientation="landscape"/>
      <autoFilter ref="F10:F310" xr:uid="{13E04BD6-1C79-419C-87B1-A3FC7D5B96CB}"/>
    </customSheetView>
    <customSheetView guid="{6E45CC1C-F2B4-4E71-B4D9-E4A83D340A41}" scale="85" showPageBreaks="1" showGridLines="0" showRowCol="0" showAutoFilter="1">
      <pane xSplit="11" ySplit="10" topLeftCell="L248" activePane="bottomRight" state="frozenSplit"/>
      <selection pane="bottomRight" activeCell="M261" sqref="M261"/>
      <pageMargins left="0.7" right="0.7" top="0.75" bottom="0.75" header="0.3" footer="0.3"/>
      <pageSetup paperSize="9" orientation="portrait"/>
      <autoFilter ref="F10:F310" xr:uid="{B5C479F2-DAF2-4070-9F3B-39D3A47DDD4A}"/>
    </customSheetView>
    <customSheetView guid="{5FEB8780-83A5-46AA-A5CB-9F9A479E52D7}" showGridLines="0" showRowCol="0" showAutoFilter="1">
      <pane xSplit="11" ySplit="10" topLeftCell="O206" activePane="bottomRight" state="frozenSplit"/>
      <selection pane="bottomRight" activeCell="O218" sqref="O218"/>
      <pageMargins left="0.7" right="0.7" top="0.75" bottom="0.75" header="0.3" footer="0.3"/>
      <pageSetup paperSize="9" orientation="portrait"/>
      <autoFilter ref="F10:F310" xr:uid="{F0E7F306-9416-4C3B-84E3-49519BF8574B}"/>
    </customSheetView>
    <customSheetView guid="{C6EC2A9F-4D28-4B13-A181-43471E5FA580}" scale="80" showPageBreaks="1" showGridLines="0" showRowCol="0" fitToPage="1" printArea="1" showAutoFilter="1">
      <pane xSplit="11" ySplit="10" topLeftCell="N212" activePane="bottomRight" state="frozenSplit"/>
      <selection pane="bottomRight" activeCell="O215" sqref="O215"/>
      <pageMargins left="0.7" right="0.7" top="0.75" bottom="0.75" header="0.3" footer="0.3"/>
      <pageSetup paperSize="8" scale="39" orientation="landscape"/>
      <autoFilter ref="F10:F310" xr:uid="{9B73E474-13F6-48BD-86A9-DAD8A02DAE01}"/>
    </customSheetView>
    <customSheetView guid="{A8B30D1E-7EC0-4837-AB67-E8ADA658B937}" scale="80" showPageBreaks="1" showGridLines="0" showRowCol="0" showAutoFilter="1">
      <pane xSplit="11" ySplit="10" topLeftCell="Z192" activePane="bottomRight" state="frozenSplit"/>
      <selection pane="bottomRight" activeCell="I8" sqref="I8"/>
      <pageMargins left="0.7" right="0.7" top="0.75" bottom="0.75" header="0.3" footer="0.3"/>
      <pageSetup paperSize="9" orientation="portrait"/>
      <autoFilter ref="F10:F210" xr:uid="{A9A9CC72-8510-4CBC-89EB-0FCEFB8FCE6E}"/>
    </customSheetView>
    <customSheetView guid="{085F2103-108A-483C-AAD7-AC1049A79BF0}" scale="80" showGridLines="0" showRowCol="0" showAutoFilter="1">
      <pane xSplit="13" ySplit="10" topLeftCell="N44" activePane="bottomRight" state="frozenSplit"/>
      <selection pane="bottomRight" activeCell="O67" sqref="O67"/>
      <pageMargins left="0.7" right="0.7" top="0.75" bottom="0.75" header="0.3" footer="0.3"/>
      <pageSetup paperSize="9" orientation="portrait"/>
      <autoFilter ref="F10:F110" xr:uid="{D008C5AB-1266-461F-B614-9729F8ADC4C0}"/>
    </customSheetView>
    <customSheetView guid="{AA76D42C-FF81-4012-9724-37BEA4274EAD}" scale="80" showGridLines="0" showRowCol="0" showAutoFilter="1">
      <pane xSplit="12" ySplit="10" topLeftCell="AC56" activePane="bottomRight" state="frozenSplit"/>
      <selection pane="bottomRight" activeCell="AH66" sqref="AH66"/>
      <pageMargins left="0.7" right="0.7" top="0.75" bottom="0.75" header="0.3" footer="0.3"/>
      <pageSetup paperSize="9" orientation="portrait" verticalDpi="0"/>
      <autoFilter ref="F10:F110" xr:uid="{AD84D0BB-EC04-4AB1-878A-86548C4F88FE}"/>
    </customSheetView>
    <customSheetView guid="{12A57108-64EE-4143-BE7B-0E614C9693B7}" scale="80" showGridLines="0" showRowCol="0" showAutoFilter="1">
      <pane xSplit="11" ySplit="10" topLeftCell="L29" activePane="bottomRight" state="frozenSplit"/>
      <selection pane="bottomRight" activeCell="L31" sqref="L31"/>
      <pageMargins left="0.7" right="0.7" top="0.75" bottom="0.75" header="0.3" footer="0.3"/>
      <pageSetup paperSize="9" orientation="portrait"/>
      <autoFilter ref="D10:D110" xr:uid="{9D9E6D18-BCB7-42D4-AFF4-1FDE63005EF5}"/>
    </customSheetView>
    <customSheetView guid="{14DE6746-EFE9-4648-B824-D04A77CB20AF}" scale="80" showGridLines="0" showRowCol="0" showAutoFilter="1">
      <pane xSplit="13" ySplit="10" topLeftCell="AF11" activePane="bottomRight" state="frozenSplit"/>
      <selection pane="bottomRight" activeCell="D13" sqref="D13"/>
      <pageMargins left="0.7" right="0.7" top="0.75" bottom="0.75" header="0.3" footer="0.3"/>
      <pageSetup paperSize="9" orientation="portrait"/>
      <autoFilter ref="D10:D20" xr:uid="{6E0EAB8E-486D-43A5-B087-EAFCBA4CC61F}"/>
    </customSheetView>
    <customSheetView guid="{571287FD-093D-4EDC-8BD3-D98642EB99C3}" scale="80" showGridLines="0" showRowCol="0" showAutoFilter="1">
      <pane xSplit="13" ySplit="10" topLeftCell="N11" activePane="bottomRight" state="frozenSplit"/>
      <selection pane="bottomRight" activeCell="H12" sqref="H12"/>
      <pageMargins left="0.7" right="0.7" top="0.75" bottom="0.75" header="0.3" footer="0.3"/>
      <pageSetup paperSize="9" orientation="portrait"/>
      <autoFilter ref="D10:D20" xr:uid="{3C947DAC-AB97-4A73-8C11-08D246B55766}"/>
    </customSheetView>
    <customSheetView guid="{9D751A57-40DA-49B8-9508-C6D7ED5E68F3}" scale="80" showGridLines="0" showRowCol="0" showAutoFilter="1">
      <pane xSplit="11" ySplit="10" topLeftCell="R11" activePane="bottomRight" state="frozenSplit"/>
      <selection pane="bottomRight" activeCell="K12" sqref="K12"/>
      <pageMargins left="0.7" right="0.7" top="0.75" bottom="0.75" header="0.3" footer="0.3"/>
      <pageSetup paperSize="9" orientation="portrait"/>
      <autoFilter ref="D10:D110" xr:uid="{C74010C2-14E8-4D35-9FF6-B899AD9723FF}"/>
    </customSheetView>
    <customSheetView guid="{E7A00FAE-CEE3-4432-99AD-61BFF44ED7B2}" scale="80" showGridLines="0" showRowCol="0" showAutoFilter="1">
      <pane xSplit="11" ySplit="10" topLeftCell="Z11" activePane="bottomRight" state="frozenSplit"/>
      <selection pane="bottomRight" activeCell="C11" sqref="C11"/>
      <pageMargins left="0.7" right="0.7" top="0.75" bottom="0.75" header="0.3" footer="0.3"/>
      <pageSetup paperSize="9" orientation="portrait"/>
      <autoFilter ref="D10:D110" xr:uid="{4D0DD80E-AE3B-437F-A39A-4FB14B0ABA2C}"/>
    </customSheetView>
    <customSheetView guid="{4B160FCE-E4E1-4C5F-A95A-098B4092602F}" scale="80" showGridLines="0" showRowCol="0" showAutoFilter="1">
      <selection activeCell="C11" sqref="C11"/>
      <pageMargins left="0.7" right="0.7" top="0.75" bottom="0.75" header="0.3" footer="0.3"/>
      <pageSetup paperSize="9" orientation="portrait"/>
      <autoFilter ref="D10:D110" xr:uid="{640C6375-2F14-4F5D-830D-07F11B8B0E9A}"/>
    </customSheetView>
    <customSheetView guid="{F1DD1301-AC38-417E-9FDD-EF4BAF952014}" scale="80" showGridLines="0" showRowCol="0" showAutoFilter="1">
      <selection activeCell="AE24" sqref="AE24"/>
      <pageMargins left="0.7" right="0.7" top="0.75" bottom="0.75" header="0.3" footer="0.3"/>
      <pageSetup paperSize="9" orientation="portrait"/>
      <autoFilter ref="D10:D110" xr:uid="{B131A977-0A11-4C2B-ACF4-25457CB6710C}"/>
    </customSheetView>
    <customSheetView guid="{CBDFD7FD-13DC-4516-894B-851351BA6AB9}" scale="80" showPageBreaks="1" showGridLines="0" showRowCol="0" fitToPage="1" printArea="1" showAutoFilter="1">
      <pane xSplit="11" ySplit="10" topLeftCell="L20" activePane="bottomRight" state="frozenSplit"/>
      <selection pane="bottomRight" activeCell="J32" sqref="J32"/>
      <pageMargins left="0.7" right="0.7" top="0.75" bottom="0.75" header="0.3" footer="0.3"/>
      <pageSetup paperSize="8" scale="40" orientation="landscape"/>
      <autoFilter ref="D10:D110" xr:uid="{9BB8D3CB-C395-439A-BACC-5765E0CECA24}"/>
    </customSheetView>
    <customSheetView guid="{97539152-52C8-4DC4-9652-C2441287C382}" scale="80" showGridLines="0" showRowCol="0" showAutoFilter="1">
      <pane xSplit="13" ySplit="10" topLeftCell="N32" activePane="bottomRight" state="frozenSplit"/>
      <selection pane="bottomRight" activeCell="L42" sqref="L42"/>
      <pageMargins left="0.7" right="0.7" top="0.75" bottom="0.75" header="0.3" footer="0.3"/>
      <pageSetup paperSize="265" orientation="portrait" horizontalDpi="0" verticalDpi="0"/>
      <autoFilter ref="D10:D110" xr:uid="{BAF44AC2-B645-4EC4-A07A-9FB326B551AF}"/>
    </customSheetView>
    <customSheetView guid="{625D5130-06C8-4D06-A975-ABA68D083B42}" scale="80" showGridLines="0" showRowCol="0" showAutoFilter="1">
      <pane xSplit="11" ySplit="10" topLeftCell="L93" activePane="bottomRight" state="frozenSplit"/>
      <selection pane="bottomRight" activeCell="O112" sqref="O112"/>
      <pageMargins left="0.7" right="0.7" top="0.75" bottom="0.75" header="0.3" footer="0.3"/>
      <pageSetup paperSize="9" orientation="portrait"/>
      <autoFilter ref="F10:F210" xr:uid="{1A0B0FC9-D9F7-43CA-8C6D-3EF0A105FBA1}"/>
    </customSheetView>
    <customSheetView guid="{D38BCB13-F037-4451-83C8-426AA15E9A23}" showPageBreaks="1" showGridLines="0" showRowCol="0" showAutoFilter="1" topLeftCell="A154">
      <selection activeCell="F163" sqref="F163"/>
      <pageMargins left="0.7" right="0.7" top="0.75" bottom="0.75" header="0.3" footer="0.3"/>
      <pageSetup paperSize="9" orientation="portrait"/>
      <autoFilter ref="F10:F210" xr:uid="{82308D19-195E-4220-945E-00A8546622A1}"/>
    </customSheetView>
    <customSheetView guid="{FFA4E102-9562-4603-B4B7-1AA791121E50}" scale="80" showGridLines="0" showRowCol="0" showAutoFilter="1">
      <pane xSplit="11" ySplit="10" topLeftCell="L140" activePane="bottomRight" state="frozenSplit"/>
      <selection pane="bottomRight" activeCell="F156" sqref="F156"/>
      <pageMargins left="0.7" right="0.7" top="0.75" bottom="0.75" header="0.3" footer="0.3"/>
      <pageSetup paperSize="9" orientation="portrait"/>
      <autoFilter ref="F10:F210" xr:uid="{74A31BFC-325D-43D1-95FB-5AC03CE3454E}"/>
    </customSheetView>
    <customSheetView guid="{26F4FC40-0203-4AB2-999C-B727B44DE180}" scale="80" showGridLines="0" showRowCol="0" showAutoFilter="1">
      <pane xSplit="11" ySplit="10" topLeftCell="M230" activePane="bottomRight" state="frozenSplit"/>
      <selection pane="bottomRight" activeCell="K237" sqref="K237"/>
      <pageMargins left="0.7" right="0.7" top="0.75" bottom="0.75" header="0.3" footer="0.3"/>
      <pageSetup paperSize="9" orientation="portrait"/>
      <autoFilter ref="F10:F310" xr:uid="{72C8F239-39C7-43CB-A575-A52ADB8D9F93}"/>
    </customSheetView>
    <customSheetView guid="{C2BD8B16-66E1-415D-BFAF-8EC20656B471}" showGridLines="0" showRowCol="0" showAutoFilter="1">
      <pane xSplit="11" ySplit="10" topLeftCell="L245" activePane="bottomRight" state="frozenSplit"/>
      <selection pane="bottomRight" activeCell="J256" sqref="J256"/>
      <pageMargins left="0.7" right="0.7" top="0.75" bottom="0.75" header="0.3" footer="0.3"/>
      <pageSetup paperSize="9" orientation="portrait"/>
      <autoFilter ref="F10:F310" xr:uid="{FEBBC06B-9C6F-40C2-984E-99C4ADA39474}"/>
    </customSheetView>
    <customSheetView guid="{A33059F9-880A-48B3-B760-652DEE2C0F24}" scale="80" showGridLines="0" showRowCol="0" showAutoFilter="1">
      <pane xSplit="13" ySplit="10" topLeftCell="N262" activePane="bottomRight" state="frozenSplit"/>
      <selection pane="bottomRight" activeCell="O271" sqref="O271"/>
      <pageMargins left="0.7" right="0.7" top="0.75" bottom="0.75" header="0.3" footer="0.3"/>
      <pageSetup paperSize="9" orientation="portrait"/>
      <autoFilter ref="F10:F310" xr:uid="{56425FE7-E5E4-470B-B747-57F5EFB9EE3E}"/>
    </customSheetView>
    <customSheetView guid="{237F4384-CDB9-4F0B-B39B-8D9D4FE9822F}" scale="110" showPageBreaks="1" showGridLines="0" showRowCol="0" showAutoFilter="1">
      <pane xSplit="11" ySplit="10" topLeftCell="L281" activePane="bottomRight" state="frozenSplit"/>
      <selection pane="bottomRight" activeCell="P305" sqref="P305"/>
      <pageMargins left="0.7" right="0.7" top="0.75" bottom="0.75" header="0.3" footer="0.3"/>
      <pageSetup paperSize="9" orientation="portrait"/>
      <autoFilter ref="F10:F362" xr:uid="{0E57CF81-1E78-4B87-93EB-6693FA5998A3}"/>
    </customSheetView>
    <customSheetView guid="{98415BE6-01A1-4743-8C25-780D87EBA836}" scale="80" showGridLines="0" showRowCol="0" showAutoFilter="1">
      <pane xSplit="11" ySplit="10" topLeftCell="L308" activePane="bottomRight" state="frozenSplit"/>
      <selection pane="bottomRight" activeCell="L321" sqref="L321"/>
      <pageMargins left="0.7" right="0.7" top="0.75" bottom="0.75" header="0.3" footer="0.3"/>
      <pageSetup paperSize="9" orientation="portrait"/>
      <autoFilter ref="F10:F362" xr:uid="{A4293B22-29EE-4323-B4A7-86F700A6F922}"/>
    </customSheetView>
    <customSheetView guid="{F6E435B2-B188-488F-8598-AFC48570180D}" scale="90" showPageBreaks="1" showGridLines="0" showRowCol="0" showAutoFilter="1">
      <pane xSplit="11" ySplit="10" topLeftCell="L291" activePane="bottomRight" state="frozenSplit"/>
      <selection pane="bottomRight" activeCell="I291" sqref="I291"/>
      <pageMargins left="0.7" right="0.7" top="0.75" bottom="0.75" header="0.3" footer="0.3"/>
      <pageSetup paperSize="9" orientation="portrait"/>
      <autoFilter ref="F10:F362" xr:uid="{91793074-AC13-4A30-A96B-4A5105C78472}"/>
    </customSheetView>
    <customSheetView guid="{4DDE8A91-C6DD-44C1-92EF-AB0B970F1E28}" scale="70" showPageBreaks="1" showGridLines="0" showRowCol="0" showAutoFilter="1">
      <pane xSplit="12" ySplit="10" topLeftCell="N309" activePane="bottomRight" state="frozenSplit"/>
      <selection pane="bottomRight" activeCell="O326" sqref="O326"/>
      <pageMargins left="0.7" right="0.7" top="0.75" bottom="0.75" header="0.3" footer="0.3"/>
      <pageSetup paperSize="0" orientation="portrait" horizontalDpi="0" verticalDpi="0" copies="0"/>
      <autoFilter ref="F10:F362" xr:uid="{2183E767-66F1-48EB-A9F4-158D1B64EE52}"/>
    </customSheetView>
    <customSheetView guid="{8BDCE61A-B3F6-4F3F-A672-61D8A85D1956}" scale="80" showPageBreaks="1" showGridLines="0" showRowCol="0" showAutoFilter="1">
      <pane xSplit="13" ySplit="10" topLeftCell="N305" activePane="bottomRight" state="frozenSplit"/>
      <selection pane="bottomRight" activeCell="AC97" sqref="AC97"/>
      <pageMargins left="0.7" right="0.7" top="0.75" bottom="0.75" header="0.3" footer="0.3"/>
      <pageSetup paperSize="9" orientation="portrait"/>
      <autoFilter ref="F10:F362" xr:uid="{ED984874-8A43-445D-B762-9FCEFE48C008}"/>
    </customSheetView>
    <customSheetView guid="{81AC8332-CC6D-4DF7-A113-DAE8234E2D58}" scale="80" showPageBreaks="1" showGridLines="0" showRowCol="0" showAutoFilter="1">
      <pane xSplit="11" ySplit="171" topLeftCell="L173" activePane="bottomRight" state="frozenSplit"/>
      <selection pane="bottomRight" activeCell="C11" sqref="C11"/>
      <pageMargins left="0.7" right="0.7" top="0.75" bottom="0.75" header="0.3" footer="0.3"/>
      <pageSetup paperSize="9" orientation="portrait"/>
      <autoFilter ref="F10:F362" xr:uid="{0E882F26-9687-4FAB-802D-A0834E835B3E}"/>
    </customSheetView>
  </customSheetViews>
  <mergeCells count="6">
    <mergeCell ref="B4:B10"/>
    <mergeCell ref="I6:AE6"/>
    <mergeCell ref="D6:H6"/>
    <mergeCell ref="D4:E4"/>
    <mergeCell ref="I2:I3"/>
    <mergeCell ref="J2:J3"/>
  </mergeCells>
  <phoneticPr fontId="89" type="noConversion"/>
  <conditionalFormatting sqref="D363:D1048576 D11:D312">
    <cfRule type="duplicateValues" dxfId="33" priority="196"/>
  </conditionalFormatting>
  <conditionalFormatting sqref="AC38:AC44 AC11:AC35 AC46:AC210">
    <cfRule type="cellIs" dxfId="32" priority="42" operator="equal">
      <formula>0</formula>
    </cfRule>
  </conditionalFormatting>
  <conditionalFormatting sqref="J2:J3">
    <cfRule type="cellIs" dxfId="31" priority="37" operator="equal">
      <formula>0</formula>
    </cfRule>
  </conditionalFormatting>
  <conditionalFormatting sqref="F363:F998 F11:F210">
    <cfRule type="cellIs" dxfId="30" priority="29" operator="equal">
      <formula>"Release"</formula>
    </cfRule>
    <cfRule type="cellIs" dxfId="29" priority="34" operator="equal">
      <formula>"wait"</formula>
    </cfRule>
    <cfRule type="cellIs" dxfId="28" priority="35" operator="equal">
      <formula>"CANCELLED"</formula>
    </cfRule>
    <cfRule type="cellIs" dxfId="27" priority="36" operator="equal">
      <formula>"COMPLETED"</formula>
    </cfRule>
  </conditionalFormatting>
  <conditionalFormatting sqref="E363:E6998 E11:E312">
    <cfRule type="duplicateValues" dxfId="26" priority="240"/>
    <cfRule type="cellIs" dxfId="25" priority="241" operator="equal">
      <formula>0</formula>
    </cfRule>
    <cfRule type="cellIs" dxfId="24" priority="242" operator="equal">
      <formula>$J$2</formula>
    </cfRule>
  </conditionalFormatting>
  <conditionalFormatting sqref="AD363:AD998 AD11:AD210">
    <cfRule type="containsText" dxfId="23" priority="27" operator="containsText" text="0">
      <formula>NOT(ISERROR(SEARCH("0",AD11)))</formula>
    </cfRule>
  </conditionalFormatting>
  <conditionalFormatting sqref="AD363:AD998 AD11:AD210">
    <cfRule type="cellIs" dxfId="22" priority="26" operator="greaterThan">
      <formula>0</formula>
    </cfRule>
  </conditionalFormatting>
  <conditionalFormatting sqref="M363:M998 M11:M210">
    <cfRule type="containsText" dxfId="21" priority="24" operator="containsText" text="Break Down">
      <formula>NOT(ISERROR(SEARCH("Break Down",M11)))</formula>
    </cfRule>
  </conditionalFormatting>
  <conditionalFormatting sqref="A33:A37">
    <cfRule type="iconSet" priority="20">
      <iconSet iconSet="3Symbols2">
        <cfvo type="percent" val="0"/>
        <cfvo type="num" val="1"/>
        <cfvo type="num" val="2"/>
      </iconSet>
    </cfRule>
  </conditionalFormatting>
  <conditionalFormatting sqref="AC211:AC362">
    <cfRule type="cellIs" dxfId="20" priority="15" operator="equal">
      <formula>0</formula>
    </cfRule>
  </conditionalFormatting>
  <conditionalFormatting sqref="F211:F362">
    <cfRule type="cellIs" dxfId="19" priority="11" operator="equal">
      <formula>"Release"</formula>
    </cfRule>
    <cfRule type="cellIs" dxfId="18" priority="12" operator="equal">
      <formula>"wait"</formula>
    </cfRule>
    <cfRule type="cellIs" dxfId="17" priority="13" operator="equal">
      <formula>"CANCELLED"</formula>
    </cfRule>
    <cfRule type="cellIs" dxfId="16" priority="14" operator="equal">
      <formula>"COMPLETED"</formula>
    </cfRule>
  </conditionalFormatting>
  <conditionalFormatting sqref="AD211:AD362">
    <cfRule type="containsText" dxfId="15" priority="10" operator="containsText" text="0">
      <formula>NOT(ISERROR(SEARCH("0",AD211)))</formula>
    </cfRule>
  </conditionalFormatting>
  <conditionalFormatting sqref="AD211:AD362">
    <cfRule type="cellIs" dxfId="14" priority="9" operator="greaterThan">
      <formula>0</formula>
    </cfRule>
  </conditionalFormatting>
  <conditionalFormatting sqref="M211:M362">
    <cfRule type="containsText" dxfId="13" priority="8" operator="containsText" text="Break Down">
      <formula>NOT(ISERROR(SEARCH("Break Down",M211)))</formula>
    </cfRule>
  </conditionalFormatting>
  <conditionalFormatting sqref="B11:B998">
    <cfRule type="iconSet" priority="247">
      <iconSet iconSet="3Symbols2">
        <cfvo type="percent" val="0"/>
        <cfvo type="num" val="1"/>
        <cfvo type="num" val="2"/>
      </iconSet>
    </cfRule>
  </conditionalFormatting>
  <conditionalFormatting sqref="D313:D362">
    <cfRule type="duplicateValues" dxfId="12" priority="251"/>
  </conditionalFormatting>
  <conditionalFormatting sqref="E313:E362">
    <cfRule type="duplicateValues" dxfId="11" priority="252"/>
    <cfRule type="cellIs" dxfId="10" priority="253" operator="equal">
      <formula>0</formula>
    </cfRule>
    <cfRule type="cellIs" dxfId="9" priority="254" operator="equal">
      <formula>$J$2</formula>
    </cfRule>
  </conditionalFormatting>
  <conditionalFormatting sqref="AC36:AC37">
    <cfRule type="containsText" dxfId="8" priority="4" operator="containsText" text="0">
      <formula>NOT(ISERROR(SEARCH("0",AC36)))</formula>
    </cfRule>
  </conditionalFormatting>
  <conditionalFormatting sqref="AC36:AC37">
    <cfRule type="cellIs" dxfId="7" priority="3" operator="greaterThan">
      <formula>0</formula>
    </cfRule>
  </conditionalFormatting>
  <conditionalFormatting sqref="AC45">
    <cfRule type="containsText" dxfId="6" priority="2" operator="containsText" text="0">
      <formula>NOT(ISERROR(SEARCH("0",AC45)))</formula>
    </cfRule>
  </conditionalFormatting>
  <conditionalFormatting sqref="AC45">
    <cfRule type="cellIs" dxfId="5" priority="1" operator="greaterThan">
      <formula>0</formula>
    </cfRule>
  </conditionalFormatting>
  <dataValidations count="18">
    <dataValidation type="list" allowBlank="1" showInputMessage="1" showErrorMessage="1" sqref="I2:I3" xr:uid="{00000000-0002-0000-0000-000000000000}">
      <formula1>ITEMS</formula1>
    </dataValidation>
    <dataValidation type="list" allowBlank="1" showInputMessage="1" showErrorMessage="1" sqref="F4" xr:uid="{00000000-0002-0000-0000-000001000000}">
      <formula1>"YEAR 2021,YEAR 2022,YEAR 2023,YEAR 2024,YEAR 2025,YEAR 2026,YEAR 2027"</formula1>
    </dataValidation>
    <dataValidation type="custom" allowBlank="1" showInputMessage="1" showErrorMessage="1" errorTitle="คุณบันทึกรายการซ้ำ" error="รายการที่คุณบันทึกมีอยู่แล้ว!" sqref="D11:D6998" xr:uid="{00000000-0002-0000-0000-000002000000}">
      <formula1>COUNTIF($D$11:$D$13,D11)=1</formula1>
    </dataValidation>
    <dataValidation type="list" allowBlank="1" showInputMessage="1" showErrorMessage="1" sqref="G11:G1048576" xr:uid="{00000000-0002-0000-0000-000003000000}">
      <formula1>Department</formula1>
    </dataValidation>
    <dataValidation type="list" allowBlank="1" showInputMessage="1" showErrorMessage="1" sqref="F11:F1048576" xr:uid="{00000000-0002-0000-0000-000004000000}">
      <formula1>JobStatus</formula1>
    </dataValidation>
    <dataValidation type="list" allowBlank="1" showInputMessage="1" showErrorMessage="1" sqref="K11:K1048576" xr:uid="{00000000-0002-0000-0000-000005000000}">
      <formula1>JobType</formula1>
    </dataValidation>
    <dataValidation type="list" allowBlank="1" showInputMessage="1" showErrorMessage="1" sqref="L11:L1048576" xr:uid="{00000000-0002-0000-0000-000006000000}">
      <formula1>JobDescription</formula1>
    </dataValidation>
    <dataValidation type="list" allowBlank="1" showInputMessage="1" showErrorMessage="1" sqref="M11:M1048576" xr:uid="{00000000-0002-0000-0000-000007000000}">
      <formula1>MachineStatus</formula1>
    </dataValidation>
    <dataValidation type="list" allowBlank="1" showInputMessage="1" showErrorMessage="1" sqref="H11:H13 AF11:AF1048576 H18:H1048576" xr:uid="{00000000-0002-0000-0000-000008000000}">
      <formula1>Requestors</formula1>
    </dataValidation>
    <dataValidation type="date" allowBlank="1" showInputMessage="1" showErrorMessage="1" error="คุณบันทึกข้อมูลไม่ถูกต้อง!" sqref="I363:I1048576" xr:uid="{00000000-0002-0000-0000-000009000000}">
      <formula1>44197</formula1>
      <formula2>44926</formula2>
    </dataValidation>
    <dataValidation type="list" allowBlank="1" showInputMessage="1" showErrorMessage="1" sqref="P11:P1048576" xr:uid="{00000000-0002-0000-0000-00000A000000}">
      <formula1>RootCause</formula1>
    </dataValidation>
    <dataValidation type="list" allowBlank="1" showInputMessage="1" showErrorMessage="1" sqref="R11:R1048576" xr:uid="{00000000-0002-0000-0000-00000B000000}">
      <formula1>Note</formula1>
    </dataValidation>
    <dataValidation type="list" allowBlank="1" showInputMessage="1" showErrorMessage="1" sqref="AG11:AG1048576" xr:uid="{00000000-0002-0000-0000-00000C000000}">
      <formula1>MaintenanceTeam</formula1>
    </dataValidation>
    <dataValidation type="list" allowBlank="1" showInputMessage="1" showErrorMessage="1" sqref="V11:V1048576" xr:uid="{00000000-0002-0000-0000-00000D000000}">
      <formula1>ContaminateCheck</formula1>
    </dataValidation>
    <dataValidation type="list" allowBlank="1" showInputMessage="1" showErrorMessage="1" sqref="X11:X1048576" xr:uid="{00000000-0002-0000-0000-00000E000000}">
      <formula1>Operators</formula1>
    </dataValidation>
    <dataValidation type="list" allowBlank="1" showInputMessage="1" showErrorMessage="1" sqref="B11:B1048576" xr:uid="{00000000-0002-0000-0000-00000F000000}">
      <formula1>"0,1,2"</formula1>
    </dataValidation>
    <dataValidation type="custom" allowBlank="1" showInputMessage="1" showErrorMessage="1" errorTitle="คุณบันทึกรายการซ้ำ" error="รายการที่คุณบันทึกมีอยู่แล้ว!" sqref="E11:E6998" xr:uid="{00000000-0002-0000-0000-000010000000}">
      <formula1>COUNTIF($E$11:$E$1048576,E11)=1</formula1>
    </dataValidation>
    <dataValidation type="date" allowBlank="1" showInputMessage="1" showErrorMessage="1" error="คุณบันทึกข้อมูลไม่ถูกต้อง!" sqref="I11:I362" xr:uid="{00000000-0002-0000-0000-000011000000}">
      <formula1>44197</formula1>
      <formula2>47848</formula2>
    </dataValidation>
  </dataValidations>
  <pageMargins left="0.25" right="0" top="0.25" bottom="0" header="0" footer="0"/>
  <pageSetup paperSize="8" scale="3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Spinner 1">
              <controlPr defaultSize="0" autoPict="0">
                <anchor moveWithCells="1" sizeWithCells="1">
                  <from>
                    <xdr:col>7</xdr:col>
                    <xdr:colOff>723900</xdr:colOff>
                    <xdr:row>1</xdr:row>
                    <xdr:rowOff>0</xdr:rowOff>
                  </from>
                  <to>
                    <xdr:col>7</xdr:col>
                    <xdr:colOff>1047750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autoFill="0" autoPict="0" macro="[0]!Goto_PrintPreview">
                <anchor moveWithCells="1" sizeWithCells="1">
                  <from>
                    <xdr:col>11</xdr:col>
                    <xdr:colOff>504825</xdr:colOff>
                    <xdr:row>2</xdr:row>
                    <xdr:rowOff>38100</xdr:rowOff>
                  </from>
                  <to>
                    <xdr:col>12</xdr:col>
                    <xdr:colOff>504825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12000000}">
          <x14:formula1>
            <xm:f>DATA!$M$2:$M$21</xm:f>
          </x14:formula1>
          <xm:sqref>H14:H17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3"/>
    <pageSetUpPr fitToPage="1"/>
  </sheetPr>
  <dimension ref="C1:BB122"/>
  <sheetViews>
    <sheetView showGridLines="0" showRowColHeaders="0" topLeftCell="A28" zoomScale="70" zoomScaleNormal="70" zoomScaleSheetLayoutView="80" zoomScalePageLayoutView="80" workbookViewId="0">
      <selection activeCell="AB48" sqref="AB48"/>
    </sheetView>
  </sheetViews>
  <sheetFormatPr defaultColWidth="3.42578125" defaultRowHeight="19.899999999999999" customHeight="1" outlineLevelRow="1"/>
  <cols>
    <col min="1" max="1" width="2.42578125" style="55" customWidth="1"/>
    <col min="2" max="2" width="0.42578125" style="55" customWidth="1"/>
    <col min="3" max="3" width="1.42578125" style="55" customWidth="1"/>
    <col min="4" max="45" width="4" style="55" customWidth="1"/>
    <col min="46" max="46" width="1.42578125" style="55" customWidth="1"/>
    <col min="47" max="47" width="0.42578125" style="55" customWidth="1"/>
    <col min="48" max="48" width="3.42578125" style="55"/>
    <col min="49" max="49" width="21.42578125" style="55" bestFit="1" customWidth="1"/>
    <col min="50" max="58" width="3.42578125" style="55"/>
    <col min="59" max="59" width="5.42578125" style="55" bestFit="1" customWidth="1"/>
    <col min="60" max="16384" width="3.42578125" style="55"/>
  </cols>
  <sheetData>
    <row r="1" spans="3:52" ht="10.15" hidden="1" customHeight="1" outlineLevel="1">
      <c r="C1" s="100"/>
      <c r="D1" s="100"/>
      <c r="E1" s="100"/>
      <c r="F1" s="100"/>
      <c r="G1" s="100"/>
      <c r="H1" s="100"/>
      <c r="I1" s="100"/>
      <c r="J1" s="100"/>
      <c r="K1" s="100"/>
      <c r="L1" s="100"/>
      <c r="M1" s="100"/>
      <c r="N1" s="100"/>
      <c r="O1" s="100"/>
      <c r="P1" s="100"/>
      <c r="Q1" s="100"/>
      <c r="R1" s="100"/>
      <c r="S1" s="100"/>
      <c r="T1" s="100"/>
      <c r="U1" s="100"/>
      <c r="V1" s="100"/>
      <c r="W1" s="100"/>
      <c r="X1" s="100"/>
      <c r="Y1" s="100"/>
      <c r="Z1" s="100"/>
      <c r="AA1" s="100"/>
      <c r="AB1" s="100"/>
      <c r="AC1" s="100"/>
      <c r="AD1" s="100"/>
      <c r="AE1" s="100"/>
      <c r="AF1" s="100"/>
      <c r="AG1" s="100"/>
      <c r="AH1" s="100"/>
      <c r="AI1" s="100"/>
      <c r="AJ1" s="100"/>
      <c r="AK1" s="100"/>
      <c r="AL1" s="100"/>
      <c r="AM1" s="100"/>
      <c r="AN1" s="100"/>
      <c r="AO1" s="100"/>
      <c r="AP1" s="100"/>
      <c r="AQ1" s="100"/>
      <c r="AR1" s="100"/>
      <c r="AS1" s="100"/>
      <c r="AT1" s="100"/>
      <c r="AU1" s="100"/>
    </row>
    <row r="2" spans="3:52" ht="19.899999999999999" hidden="1" customHeight="1" outlineLevel="1">
      <c r="C2" s="100"/>
      <c r="D2" s="101" t="s">
        <v>99</v>
      </c>
      <c r="E2" s="100"/>
      <c r="F2" s="103" t="str">
        <f ca="1">JobSelection</f>
        <v>EN-26-017</v>
      </c>
      <c r="G2" s="100"/>
      <c r="H2" s="100"/>
      <c r="I2" s="100"/>
      <c r="J2" s="100"/>
      <c r="K2" s="100"/>
      <c r="L2" s="100"/>
      <c r="M2" s="100"/>
      <c r="N2" s="100"/>
      <c r="O2" s="100"/>
      <c r="P2" s="100"/>
      <c r="Q2" s="100"/>
      <c r="R2" s="100"/>
      <c r="S2" s="100"/>
      <c r="T2" s="100"/>
      <c r="U2" s="100"/>
      <c r="V2" s="100"/>
      <c r="W2" s="100"/>
      <c r="X2" s="100"/>
      <c r="Y2" s="100"/>
      <c r="Z2" s="100"/>
      <c r="AA2" s="100"/>
      <c r="AB2" s="100"/>
      <c r="AC2" s="100"/>
      <c r="AD2" s="100"/>
      <c r="AE2" s="100"/>
      <c r="AF2" s="100"/>
      <c r="AG2" s="100"/>
      <c r="AH2" s="100"/>
      <c r="AI2" s="100"/>
      <c r="AJ2" s="100"/>
      <c r="AK2" s="100"/>
      <c r="AL2" s="100"/>
      <c r="AM2" s="100"/>
      <c r="AN2" s="100"/>
      <c r="AO2" s="100"/>
      <c r="AP2" s="100"/>
      <c r="AQ2" s="100"/>
      <c r="AR2" s="100"/>
      <c r="AS2" s="100"/>
      <c r="AT2" s="100"/>
    </row>
    <row r="3" spans="3:52" ht="19.899999999999999" hidden="1" customHeight="1" outlineLevel="1">
      <c r="C3" s="100"/>
      <c r="D3" s="139" t="s">
        <v>98</v>
      </c>
      <c r="E3" s="140"/>
      <c r="F3" s="140" t="s">
        <v>218</v>
      </c>
      <c r="G3" s="140"/>
      <c r="H3" s="140"/>
      <c r="I3" s="140"/>
      <c r="J3" s="140"/>
      <c r="K3" s="140"/>
      <c r="L3" s="140" t="s">
        <v>157</v>
      </c>
      <c r="M3" s="140"/>
      <c r="N3" s="140"/>
      <c r="O3" s="140"/>
      <c r="P3" s="140"/>
      <c r="Q3" s="140"/>
      <c r="R3" s="140"/>
      <c r="S3" s="140"/>
      <c r="T3" s="100"/>
      <c r="U3" s="100"/>
      <c r="V3" s="100"/>
      <c r="W3" s="100"/>
      <c r="X3" s="100"/>
      <c r="Y3" s="100"/>
      <c r="Z3" s="100"/>
      <c r="AA3" s="100"/>
      <c r="AB3" s="100"/>
      <c r="AC3" s="100"/>
      <c r="AD3" s="100"/>
      <c r="AE3" s="100"/>
      <c r="AF3" s="100"/>
      <c r="AG3" s="100"/>
      <c r="AH3" s="100"/>
      <c r="AI3" s="100"/>
      <c r="AJ3" s="100"/>
      <c r="AK3" s="100"/>
      <c r="AL3" s="100"/>
      <c r="AM3" s="100"/>
      <c r="AN3" s="100"/>
      <c r="AO3" s="100"/>
      <c r="AP3" s="100"/>
      <c r="AQ3" s="100"/>
      <c r="AR3" s="100"/>
      <c r="AS3" s="100"/>
      <c r="AT3" s="100"/>
      <c r="AU3" s="100"/>
    </row>
    <row r="4" spans="3:52" ht="19.899999999999999" hidden="1" customHeight="1" outlineLevel="1">
      <c r="C4" s="100"/>
      <c r="D4" s="102">
        <v>3</v>
      </c>
      <c r="E4" s="100"/>
      <c r="F4" s="100" t="s">
        <v>158</v>
      </c>
      <c r="G4" s="100"/>
      <c r="H4" s="100"/>
      <c r="I4" s="100"/>
      <c r="J4" s="100"/>
      <c r="K4" s="100"/>
      <c r="L4" s="103" t="str">
        <f t="array" aca="1" ref="L4" ca="1">VLOOKUP($F$2,DataRecord,D4,0)</f>
        <v>Other</v>
      </c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  <c r="AC4" s="100"/>
      <c r="AD4" s="100"/>
      <c r="AE4" s="100"/>
      <c r="AF4" s="100"/>
      <c r="AG4" s="100"/>
      <c r="AH4" s="100"/>
      <c r="AI4" s="100"/>
      <c r="AJ4" s="100"/>
      <c r="AK4" s="100"/>
      <c r="AL4" s="100"/>
      <c r="AM4" s="100"/>
      <c r="AN4" s="100"/>
      <c r="AO4" s="100"/>
      <c r="AP4" s="100"/>
      <c r="AQ4" s="100"/>
      <c r="AR4" s="100"/>
      <c r="AS4" s="100"/>
      <c r="AT4" s="100"/>
      <c r="AU4" s="100"/>
      <c r="AV4" s="100"/>
      <c r="AW4" s="100"/>
      <c r="AX4" s="100"/>
      <c r="AY4" s="100"/>
      <c r="AZ4" s="100"/>
    </row>
    <row r="5" spans="3:52" ht="19.899999999999999" hidden="1" customHeight="1" outlineLevel="1">
      <c r="C5" s="100"/>
      <c r="D5" s="102">
        <v>10</v>
      </c>
      <c r="E5" s="100"/>
      <c r="F5" s="100" t="s">
        <v>105</v>
      </c>
      <c r="G5" s="100"/>
      <c r="H5" s="100"/>
      <c r="I5" s="100"/>
      <c r="J5" s="100"/>
      <c r="K5" s="100"/>
      <c r="L5" s="103" t="str">
        <f t="array" aca="1" ref="L5" ca="1">VLOOKUP($F$2,DataRecord,D5,0)</f>
        <v>ย้ายสายโทรศัพเบอร์เดิม</v>
      </c>
      <c r="M5" s="100"/>
      <c r="N5" s="100"/>
      <c r="O5" s="100"/>
      <c r="P5" s="100"/>
      <c r="Q5" s="100"/>
      <c r="R5" s="100"/>
      <c r="S5" s="100"/>
      <c r="T5" s="100"/>
      <c r="U5" s="100"/>
      <c r="V5" s="100"/>
      <c r="W5" s="100"/>
      <c r="X5" s="100"/>
      <c r="Y5" s="100"/>
      <c r="Z5" s="100"/>
      <c r="AA5" s="100"/>
      <c r="AB5" s="100"/>
      <c r="AC5" s="100"/>
      <c r="AD5" s="100"/>
      <c r="AE5" s="100"/>
      <c r="AF5" s="100"/>
      <c r="AG5" s="100"/>
      <c r="AH5" s="100"/>
      <c r="AI5" s="100"/>
      <c r="AJ5" s="100"/>
      <c r="AK5" s="100"/>
      <c r="AL5" s="100"/>
      <c r="AM5" s="100"/>
      <c r="AN5" s="100"/>
      <c r="AO5" s="100"/>
      <c r="AP5" s="100"/>
      <c r="AQ5" s="100"/>
      <c r="AR5" s="100"/>
      <c r="AS5" s="100"/>
      <c r="AT5" s="100"/>
      <c r="AU5" s="100"/>
      <c r="AV5" s="100"/>
      <c r="AW5" s="100"/>
      <c r="AX5" s="100"/>
      <c r="AY5" s="100"/>
      <c r="AZ5" s="100"/>
    </row>
    <row r="6" spans="3:52" ht="19.899999999999999" hidden="1" customHeight="1" outlineLevel="1">
      <c r="C6" s="100"/>
      <c r="D6" s="102">
        <v>5</v>
      </c>
      <c r="E6" s="100"/>
      <c r="F6" s="100" t="s">
        <v>219</v>
      </c>
      <c r="G6" s="100"/>
      <c r="H6" s="100"/>
      <c r="I6" s="100"/>
      <c r="J6" s="100"/>
      <c r="K6" s="100"/>
      <c r="L6" s="103">
        <f t="array" aca="1" ref="L6" ca="1">VLOOKUP($F$2,DataRecord,D6,0)</f>
        <v>46155</v>
      </c>
      <c r="M6" s="100"/>
      <c r="N6" s="100"/>
      <c r="O6" s="100"/>
      <c r="P6" s="100"/>
      <c r="Q6" s="100"/>
      <c r="R6" s="100"/>
      <c r="S6" s="100"/>
      <c r="T6" s="100"/>
      <c r="U6" s="100"/>
      <c r="V6" s="100"/>
      <c r="W6" s="100"/>
      <c r="X6" s="100"/>
      <c r="Y6" s="100"/>
      <c r="Z6" s="100"/>
      <c r="AA6" s="100"/>
      <c r="AB6" s="100"/>
      <c r="AC6" s="100"/>
      <c r="AD6" s="100"/>
      <c r="AE6" s="100"/>
      <c r="AF6" s="100"/>
      <c r="AG6" s="100"/>
      <c r="AH6" s="100"/>
      <c r="AI6" s="100"/>
      <c r="AJ6" s="100"/>
      <c r="AK6" s="100"/>
      <c r="AL6" s="100"/>
      <c r="AM6" s="100"/>
      <c r="AN6" s="100"/>
      <c r="AO6" s="100"/>
      <c r="AP6" s="100"/>
      <c r="AQ6" s="100"/>
      <c r="AR6" s="100"/>
      <c r="AS6" s="100"/>
      <c r="AT6" s="100"/>
      <c r="AU6" s="100"/>
      <c r="AV6" s="100"/>
      <c r="AW6" s="100"/>
      <c r="AX6" s="100"/>
      <c r="AY6" s="100"/>
      <c r="AZ6" s="100"/>
    </row>
    <row r="7" spans="3:52" ht="19.899999999999999" hidden="1" customHeight="1" outlineLevel="1">
      <c r="C7" s="100"/>
      <c r="D7" s="102">
        <v>6</v>
      </c>
      <c r="E7" s="100"/>
      <c r="F7" s="100" t="s">
        <v>220</v>
      </c>
      <c r="G7" s="100"/>
      <c r="H7" s="100"/>
      <c r="I7" s="100"/>
      <c r="J7" s="100"/>
      <c r="K7" s="100"/>
      <c r="L7" s="103" t="str">
        <f t="array" aca="1" ref="L7" ca="1">VLOOKUP($F$2,DataRecord,D7,0)</f>
        <v>08.30 AM</v>
      </c>
      <c r="M7" s="100"/>
      <c r="N7" s="100"/>
      <c r="O7" s="100"/>
      <c r="P7" s="100"/>
      <c r="Q7" s="100"/>
      <c r="R7" s="100"/>
      <c r="S7" s="100"/>
      <c r="T7" s="100"/>
      <c r="U7" s="100"/>
      <c r="V7" s="100"/>
      <c r="W7" s="100"/>
      <c r="X7" s="100"/>
      <c r="Y7" s="100"/>
      <c r="Z7" s="100"/>
      <c r="AA7" s="100"/>
      <c r="AB7" s="100"/>
      <c r="AC7" s="100"/>
      <c r="AD7" s="100"/>
      <c r="AE7" s="100"/>
      <c r="AF7" s="100"/>
      <c r="AG7" s="100"/>
      <c r="AH7" s="100"/>
      <c r="AI7" s="100"/>
      <c r="AJ7" s="100"/>
      <c r="AK7" s="100"/>
      <c r="AL7" s="100"/>
      <c r="AM7" s="100"/>
      <c r="AN7" s="100"/>
      <c r="AO7" s="100"/>
      <c r="AP7" s="100"/>
      <c r="AQ7" s="100"/>
      <c r="AR7" s="100"/>
      <c r="AS7" s="100"/>
      <c r="AT7" s="100"/>
      <c r="AU7" s="100"/>
      <c r="AV7" s="100"/>
      <c r="AW7" s="100"/>
      <c r="AX7" s="100"/>
      <c r="AY7" s="100"/>
      <c r="AZ7" s="100"/>
    </row>
    <row r="8" spans="3:52" ht="19.899999999999999" hidden="1" customHeight="1" outlineLevel="1">
      <c r="C8" s="100"/>
      <c r="D8" s="102">
        <v>7</v>
      </c>
      <c r="E8" s="100"/>
      <c r="F8" s="100" t="s">
        <v>221</v>
      </c>
      <c r="G8" s="100"/>
      <c r="H8" s="100"/>
      <c r="I8" s="100"/>
      <c r="J8" s="100"/>
      <c r="K8" s="100"/>
      <c r="L8" s="103" t="str">
        <f t="array" aca="1" ref="L8" ca="1">VLOOKUP($F$2,DataRecord,D8,0)</f>
        <v>Other</v>
      </c>
      <c r="M8" s="100"/>
      <c r="N8" s="100"/>
      <c r="O8" s="100"/>
      <c r="P8" s="100"/>
      <c r="Q8" s="100"/>
      <c r="R8" s="100"/>
      <c r="S8" s="100"/>
      <c r="T8" s="100"/>
      <c r="U8" s="100"/>
      <c r="V8" s="100"/>
      <c r="W8" s="100"/>
      <c r="X8" s="100"/>
      <c r="Y8" s="100"/>
      <c r="Z8" s="100"/>
      <c r="AA8" s="100"/>
      <c r="AB8" s="100"/>
      <c r="AC8" s="100"/>
      <c r="AD8" s="100"/>
      <c r="AE8" s="100"/>
      <c r="AF8" s="100"/>
      <c r="AG8" s="100"/>
      <c r="AH8" s="100"/>
      <c r="AI8" s="100"/>
      <c r="AJ8" s="100"/>
      <c r="AK8" s="100"/>
      <c r="AL8" s="100"/>
      <c r="AM8" s="100"/>
      <c r="AN8" s="100"/>
      <c r="AO8" s="100"/>
      <c r="AP8" s="100"/>
      <c r="AQ8" s="100"/>
      <c r="AR8" s="100"/>
      <c r="AS8" s="100"/>
      <c r="AT8" s="100"/>
      <c r="AU8" s="100"/>
      <c r="AV8" s="100"/>
      <c r="AW8" s="100"/>
      <c r="AX8" s="100"/>
      <c r="AY8" s="100"/>
      <c r="AZ8" s="100"/>
    </row>
    <row r="9" spans="3:52" ht="19.899999999999999" hidden="1" customHeight="1" outlineLevel="1">
      <c r="C9" s="100"/>
      <c r="D9" s="102">
        <v>8</v>
      </c>
      <c r="E9" s="100"/>
      <c r="F9" s="100" t="s">
        <v>222</v>
      </c>
      <c r="G9" s="100"/>
      <c r="H9" s="100"/>
      <c r="I9" s="100"/>
      <c r="J9" s="100"/>
      <c r="K9" s="100"/>
      <c r="L9" s="103" t="str">
        <f t="array" aca="1" ref="L9" ca="1">VLOOKUP($F$2,DataRecord,D9,0)</f>
        <v>Modify</v>
      </c>
      <c r="M9" s="100"/>
      <c r="N9" s="100"/>
      <c r="O9" s="100"/>
      <c r="P9" s="100"/>
      <c r="Q9" s="100"/>
      <c r="R9" s="100"/>
      <c r="S9" s="100"/>
      <c r="T9" s="100"/>
      <c r="U9" s="100"/>
      <c r="V9" s="100"/>
      <c r="W9" s="100"/>
      <c r="X9" s="100"/>
      <c r="Y9" s="100"/>
      <c r="Z9" s="100"/>
      <c r="AA9" s="100"/>
      <c r="AB9" s="100"/>
      <c r="AC9" s="100"/>
      <c r="AD9" s="100"/>
      <c r="AE9" s="100"/>
      <c r="AF9" s="100"/>
      <c r="AG9" s="100"/>
      <c r="AH9" s="100"/>
      <c r="AI9" s="100"/>
      <c r="AJ9" s="100"/>
      <c r="AK9" s="100"/>
      <c r="AL9" s="100"/>
      <c r="AM9" s="100"/>
      <c r="AN9" s="100"/>
      <c r="AO9" s="100"/>
      <c r="AP9" s="100"/>
      <c r="AQ9" s="100"/>
      <c r="AR9" s="100"/>
      <c r="AS9" s="100"/>
      <c r="AT9" s="100"/>
      <c r="AU9" s="100"/>
      <c r="AV9" s="100"/>
      <c r="AW9" s="100"/>
      <c r="AX9" s="100"/>
      <c r="AY9" s="100"/>
      <c r="AZ9" s="100"/>
    </row>
    <row r="10" spans="3:52" ht="19.899999999999999" hidden="1" customHeight="1" outlineLevel="1">
      <c r="C10" s="100"/>
      <c r="D10" s="102">
        <v>9</v>
      </c>
      <c r="E10" s="100"/>
      <c r="F10" s="100" t="s">
        <v>223</v>
      </c>
      <c r="G10" s="100"/>
      <c r="H10" s="100"/>
      <c r="I10" s="100"/>
      <c r="J10" s="100"/>
      <c r="K10" s="100"/>
      <c r="L10" s="103">
        <f t="array" aca="1" ref="L10" ca="1">VLOOKUP($F$2,DataRecord,D10,0)</f>
        <v>0</v>
      </c>
      <c r="M10" s="100"/>
      <c r="N10" s="100"/>
      <c r="O10" s="100"/>
      <c r="P10" s="100"/>
      <c r="Q10" s="100"/>
      <c r="R10" s="100"/>
      <c r="S10" s="100"/>
      <c r="T10" s="100"/>
      <c r="U10" s="100"/>
      <c r="V10" s="100"/>
      <c r="W10" s="100"/>
      <c r="X10" s="100"/>
      <c r="Y10" s="100"/>
      <c r="Z10" s="100"/>
      <c r="AA10" s="100"/>
      <c r="AB10" s="100"/>
      <c r="AC10" s="100"/>
      <c r="AD10" s="100"/>
      <c r="AE10" s="100"/>
      <c r="AF10" s="100"/>
      <c r="AG10" s="100"/>
      <c r="AH10" s="100"/>
      <c r="AI10" s="100"/>
      <c r="AJ10" s="100"/>
      <c r="AK10" s="100"/>
      <c r="AL10" s="100"/>
      <c r="AM10" s="100"/>
      <c r="AN10" s="100"/>
      <c r="AO10" s="100"/>
      <c r="AP10" s="100"/>
      <c r="AQ10" s="100"/>
      <c r="AR10" s="100"/>
      <c r="AS10" s="100"/>
      <c r="AT10" s="100"/>
      <c r="AU10" s="100"/>
      <c r="AV10" s="100"/>
      <c r="AW10" s="100"/>
      <c r="AX10" s="100"/>
      <c r="AY10" s="100"/>
      <c r="AZ10" s="100"/>
    </row>
    <row r="11" spans="3:52" ht="19.899999999999999" hidden="1" customHeight="1" outlineLevel="1">
      <c r="C11" s="100"/>
      <c r="D11" s="102">
        <v>11</v>
      </c>
      <c r="E11" s="100"/>
      <c r="F11" s="100" t="s">
        <v>224</v>
      </c>
      <c r="G11" s="100"/>
      <c r="H11" s="100"/>
      <c r="I11" s="100"/>
      <c r="J11" s="100"/>
      <c r="K11" s="100"/>
      <c r="L11" s="103" t="str">
        <f t="array" aca="1" ref="L11" ca="1">VLOOKUP($F$2,DataRecord,D11,0)</f>
        <v>ตอนนี้สายอยู่บนพรมไม่ได้เดินสายไว้ด้านล่าง</v>
      </c>
      <c r="M11" s="100"/>
      <c r="N11" s="100"/>
      <c r="O11" s="100"/>
      <c r="P11" s="100"/>
      <c r="Q11" s="100"/>
      <c r="R11" s="100"/>
      <c r="S11" s="100"/>
      <c r="T11" s="100"/>
      <c r="U11" s="100"/>
      <c r="V11" s="100"/>
      <c r="W11" s="100"/>
      <c r="X11" s="100"/>
      <c r="Y11" s="100"/>
      <c r="Z11" s="100"/>
      <c r="AA11" s="100"/>
      <c r="AB11" s="100"/>
      <c r="AC11" s="100"/>
      <c r="AD11" s="100"/>
      <c r="AE11" s="100"/>
      <c r="AF11" s="100"/>
      <c r="AG11" s="100"/>
      <c r="AH11" s="100"/>
      <c r="AI11" s="100"/>
      <c r="AJ11" s="100"/>
      <c r="AK11" s="100"/>
      <c r="AL11" s="100"/>
      <c r="AM11" s="100"/>
      <c r="AN11" s="100"/>
      <c r="AO11" s="100"/>
      <c r="AP11" s="100"/>
      <c r="AQ11" s="100"/>
      <c r="AR11" s="100"/>
      <c r="AS11" s="100"/>
      <c r="AT11" s="100"/>
      <c r="AU11" s="100"/>
      <c r="AV11" s="100"/>
      <c r="AW11" s="100"/>
      <c r="AX11" s="100"/>
      <c r="AY11" s="100"/>
      <c r="AZ11" s="100"/>
    </row>
    <row r="12" spans="3:52" ht="19.899999999999999" hidden="1" customHeight="1" outlineLevel="1">
      <c r="C12" s="100"/>
      <c r="D12" s="102">
        <v>4</v>
      </c>
      <c r="E12" s="100"/>
      <c r="F12" s="100" t="s">
        <v>225</v>
      </c>
      <c r="G12" s="103"/>
      <c r="H12" s="100"/>
      <c r="I12" s="100"/>
      <c r="J12" s="100"/>
      <c r="K12" s="100"/>
      <c r="L12" s="103" t="str">
        <f t="array" aca="1" ref="L12" ca="1">VLOOKUP($F$2,DataRecord,D12,0)</f>
        <v>สำลี ชัยศิรินทร์</v>
      </c>
      <c r="M12" s="100"/>
      <c r="N12" s="100"/>
      <c r="O12" s="100"/>
      <c r="P12" s="100"/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  <c r="AB12" s="100"/>
      <c r="AC12" s="100"/>
      <c r="AD12" s="100"/>
      <c r="AE12" s="100"/>
      <c r="AF12" s="100"/>
      <c r="AG12" s="100"/>
      <c r="AH12" s="100"/>
      <c r="AI12" s="100"/>
      <c r="AJ12" s="100"/>
      <c r="AK12" s="100"/>
      <c r="AL12" s="100"/>
      <c r="AM12" s="100"/>
      <c r="AN12" s="100"/>
      <c r="AO12" s="100"/>
      <c r="AP12" s="100"/>
      <c r="AQ12" s="100"/>
      <c r="AR12" s="100"/>
      <c r="AS12" s="100"/>
      <c r="AT12" s="100"/>
      <c r="AU12" s="100"/>
    </row>
    <row r="13" spans="3:52" ht="19.899999999999999" hidden="1" customHeight="1" outlineLevel="1">
      <c r="C13" s="100"/>
      <c r="D13" s="102">
        <v>12</v>
      </c>
      <c r="E13" s="100"/>
      <c r="F13" s="100" t="s">
        <v>170</v>
      </c>
      <c r="G13" s="103"/>
      <c r="H13" s="100"/>
      <c r="I13" s="100"/>
      <c r="J13" s="100"/>
      <c r="K13" s="100"/>
      <c r="L13" s="103">
        <f t="array" aca="1" ref="L13" ca="1">VLOOKUP($F$2,DataRecord,D13,0)</f>
        <v>0</v>
      </c>
      <c r="M13" s="100"/>
      <c r="N13" s="100"/>
      <c r="O13" s="100"/>
      <c r="P13" s="100"/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  <c r="AB13" s="100"/>
      <c r="AC13" s="100"/>
      <c r="AD13" s="100"/>
      <c r="AE13" s="100"/>
      <c r="AF13" s="100"/>
      <c r="AG13" s="100"/>
      <c r="AH13" s="100"/>
      <c r="AI13" s="100"/>
      <c r="AJ13" s="100"/>
      <c r="AK13" s="100"/>
      <c r="AL13" s="100"/>
      <c r="AM13" s="100"/>
      <c r="AN13" s="100"/>
      <c r="AO13" s="100"/>
      <c r="AP13" s="100"/>
      <c r="AQ13" s="100"/>
      <c r="AR13" s="100"/>
      <c r="AS13" s="100"/>
      <c r="AT13" s="100"/>
      <c r="AU13" s="100"/>
    </row>
    <row r="14" spans="3:52" ht="19.899999999999999" hidden="1" customHeight="1" outlineLevel="1">
      <c r="C14" s="100"/>
      <c r="D14" s="102">
        <v>13</v>
      </c>
      <c r="E14" s="100"/>
      <c r="F14" s="100" t="s">
        <v>233</v>
      </c>
      <c r="G14" s="103"/>
      <c r="H14" s="100"/>
      <c r="I14" s="100"/>
      <c r="J14" s="100"/>
      <c r="K14" s="100"/>
      <c r="L14" s="103">
        <f t="array" aca="1" ref="L14" ca="1">VLOOKUP($F$2,DataRecord,D14,0)</f>
        <v>0</v>
      </c>
      <c r="M14" s="100"/>
      <c r="N14" s="100"/>
      <c r="O14" s="100"/>
      <c r="P14" s="100"/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  <c r="AB14" s="100"/>
      <c r="AC14" s="100"/>
      <c r="AD14" s="100"/>
      <c r="AE14" s="100"/>
      <c r="AF14" s="100"/>
      <c r="AG14" s="100"/>
      <c r="AH14" s="100"/>
      <c r="AI14" s="100"/>
      <c r="AJ14" s="100"/>
      <c r="AK14" s="100"/>
      <c r="AL14" s="100"/>
      <c r="AM14" s="100"/>
      <c r="AN14" s="100"/>
      <c r="AO14" s="100"/>
      <c r="AP14" s="100"/>
      <c r="AQ14" s="100"/>
      <c r="AR14" s="100"/>
      <c r="AS14" s="100"/>
      <c r="AT14" s="100"/>
      <c r="AU14" s="100"/>
    </row>
    <row r="15" spans="3:52" ht="19.899999999999999" hidden="1" customHeight="1" outlineLevel="1">
      <c r="C15" s="100"/>
      <c r="D15" s="102">
        <v>14</v>
      </c>
      <c r="E15" s="100"/>
      <c r="F15" s="100" t="s">
        <v>265</v>
      </c>
      <c r="G15" s="103"/>
      <c r="H15" s="100"/>
      <c r="I15" s="100"/>
      <c r="J15" s="100"/>
      <c r="K15" s="100"/>
      <c r="L15" s="103">
        <f ca="1">VLOOKUP($F$2,DataRecord,D15,0)</f>
        <v>0</v>
      </c>
      <c r="M15" s="100"/>
      <c r="N15" s="100"/>
      <c r="O15" s="100"/>
      <c r="P15" s="100"/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  <c r="AB15" s="100"/>
      <c r="AC15" s="100"/>
      <c r="AD15" s="100"/>
      <c r="AE15" s="100"/>
      <c r="AF15" s="100"/>
      <c r="AG15" s="100"/>
      <c r="AH15" s="100"/>
      <c r="AI15" s="100"/>
      <c r="AJ15" s="100"/>
      <c r="AK15" s="100"/>
      <c r="AL15" s="100"/>
      <c r="AM15" s="100"/>
      <c r="AN15" s="100"/>
      <c r="AO15" s="100"/>
      <c r="AP15" s="100"/>
      <c r="AQ15" s="100"/>
      <c r="AR15" s="100"/>
      <c r="AS15" s="100"/>
      <c r="AT15" s="100"/>
      <c r="AU15" s="100"/>
    </row>
    <row r="16" spans="3:52" ht="19.899999999999999" hidden="1" customHeight="1" outlineLevel="1">
      <c r="C16" s="100"/>
      <c r="D16" s="102">
        <v>15</v>
      </c>
      <c r="E16" s="100"/>
      <c r="F16" s="100" t="s">
        <v>270</v>
      </c>
      <c r="G16" s="103"/>
      <c r="H16" s="100"/>
      <c r="I16" s="100"/>
      <c r="J16" s="100"/>
      <c r="K16" s="100"/>
      <c r="L16" s="103">
        <f t="array" aca="1" ref="L16" ca="1">VLOOKUP($F$2,DataRecord,D16,0)</f>
        <v>0</v>
      </c>
      <c r="M16" s="100"/>
      <c r="N16" s="100"/>
      <c r="O16" s="100"/>
      <c r="P16" s="100"/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  <c r="AB16" s="100"/>
      <c r="AC16" s="100"/>
      <c r="AD16" s="100"/>
      <c r="AE16" s="100"/>
      <c r="AF16" s="100"/>
      <c r="AG16" s="100"/>
      <c r="AH16" s="100"/>
      <c r="AI16" s="100"/>
      <c r="AJ16" s="100"/>
      <c r="AK16" s="100"/>
      <c r="AL16" s="100"/>
      <c r="AM16" s="100"/>
      <c r="AN16" s="100"/>
      <c r="AO16" s="100"/>
      <c r="AP16" s="100"/>
      <c r="AQ16" s="100"/>
      <c r="AR16" s="100"/>
      <c r="AS16" s="100"/>
      <c r="AT16" s="100"/>
      <c r="AU16" s="100"/>
    </row>
    <row r="17" spans="3:49" ht="19.899999999999999" hidden="1" customHeight="1" outlineLevel="1">
      <c r="C17" s="100"/>
      <c r="D17" s="102">
        <v>16</v>
      </c>
      <c r="E17" s="100"/>
      <c r="F17" s="100" t="s">
        <v>281</v>
      </c>
      <c r="G17" s="103"/>
      <c r="H17" s="100"/>
      <c r="I17" s="100"/>
      <c r="J17" s="100"/>
      <c r="K17" s="100"/>
      <c r="L17" s="103">
        <f t="array" aca="1" ref="L17" ca="1">VLOOKUP($F$2,DataRecord,D17,0)</f>
        <v>0</v>
      </c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  <c r="AB17" s="100"/>
      <c r="AC17" s="100"/>
      <c r="AD17" s="100"/>
      <c r="AE17" s="100"/>
      <c r="AF17" s="100"/>
      <c r="AG17" s="100"/>
      <c r="AH17" s="100"/>
      <c r="AI17" s="100"/>
      <c r="AJ17" s="100"/>
      <c r="AK17" s="100"/>
      <c r="AL17" s="100"/>
      <c r="AM17" s="100"/>
      <c r="AN17" s="100"/>
      <c r="AO17" s="100"/>
      <c r="AP17" s="100"/>
      <c r="AQ17" s="100"/>
      <c r="AR17" s="100"/>
      <c r="AS17" s="100"/>
      <c r="AT17" s="100"/>
      <c r="AU17" s="100"/>
    </row>
    <row r="18" spans="3:49" ht="19.899999999999999" hidden="1" customHeight="1" outlineLevel="1">
      <c r="C18" s="100"/>
      <c r="D18" s="102">
        <v>17</v>
      </c>
      <c r="E18" s="100"/>
      <c r="F18" s="100" t="s">
        <v>282</v>
      </c>
      <c r="G18" s="103"/>
      <c r="H18" s="100"/>
      <c r="I18" s="100"/>
      <c r="J18" s="100"/>
      <c r="K18" s="100"/>
      <c r="L18" s="103">
        <f t="array" aca="1" ref="L18" ca="1">VLOOKUP($F$2,DataRecord,D18,0)</f>
        <v>0</v>
      </c>
      <c r="M18" s="100"/>
      <c r="N18" s="100"/>
      <c r="O18" s="100"/>
      <c r="P18" s="100"/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00"/>
      <c r="AC18" s="100"/>
      <c r="AD18" s="100"/>
      <c r="AE18" s="100"/>
      <c r="AF18" s="100"/>
      <c r="AG18" s="100"/>
      <c r="AH18" s="100"/>
      <c r="AI18" s="100"/>
      <c r="AJ18" s="100"/>
      <c r="AK18" s="100"/>
      <c r="AL18" s="100"/>
      <c r="AM18" s="100"/>
      <c r="AN18" s="100"/>
      <c r="AO18" s="100"/>
      <c r="AP18" s="100"/>
      <c r="AQ18" s="100"/>
      <c r="AR18" s="100"/>
      <c r="AS18" s="100"/>
      <c r="AT18" s="100"/>
      <c r="AU18" s="100"/>
    </row>
    <row r="19" spans="3:49" ht="19.899999999999999" hidden="1" customHeight="1" outlineLevel="1">
      <c r="C19" s="100"/>
      <c r="D19" s="102">
        <v>18</v>
      </c>
      <c r="E19" s="100"/>
      <c r="F19" s="100" t="s">
        <v>235</v>
      </c>
      <c r="G19" s="103"/>
      <c r="H19" s="100"/>
      <c r="I19" s="100"/>
      <c r="J19" s="100"/>
      <c r="K19" s="100"/>
      <c r="L19" s="103">
        <f t="array" aca="1" ref="L19" ca="1">VLOOKUP($F$2,DataRecord,D19,0)</f>
        <v>0</v>
      </c>
      <c r="M19" s="100"/>
      <c r="N19" s="100"/>
      <c r="O19" s="100"/>
      <c r="P19" s="100"/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00"/>
      <c r="AC19" s="100"/>
      <c r="AD19" s="100"/>
      <c r="AE19" s="100"/>
      <c r="AF19" s="100"/>
      <c r="AG19" s="100"/>
      <c r="AH19" s="100"/>
      <c r="AI19" s="100"/>
      <c r="AJ19" s="100"/>
      <c r="AK19" s="100"/>
      <c r="AL19" s="100"/>
      <c r="AM19" s="100"/>
      <c r="AN19" s="100"/>
      <c r="AO19" s="100"/>
      <c r="AP19" s="100"/>
      <c r="AQ19" s="100"/>
      <c r="AR19" s="100"/>
      <c r="AS19" s="100"/>
      <c r="AT19" s="100"/>
      <c r="AU19" s="100"/>
    </row>
    <row r="20" spans="3:49" ht="19.899999999999999" hidden="1" customHeight="1" outlineLevel="1">
      <c r="C20" s="100"/>
      <c r="D20" s="102">
        <v>19</v>
      </c>
      <c r="E20" s="100"/>
      <c r="F20" s="100" t="s">
        <v>269</v>
      </c>
      <c r="G20" s="103"/>
      <c r="H20" s="100"/>
      <c r="I20" s="100"/>
      <c r="J20" s="100"/>
      <c r="K20" s="100"/>
      <c r="L20" s="103">
        <f t="array" aca="1" ref="L20" ca="1">VLOOKUP($F$2,DataRecord,D20,0)</f>
        <v>0</v>
      </c>
      <c r="M20" s="100"/>
      <c r="N20" s="100"/>
      <c r="O20" s="100"/>
      <c r="P20" s="100"/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00"/>
      <c r="AC20" s="100"/>
      <c r="AD20" s="100"/>
      <c r="AE20" s="100"/>
      <c r="AF20" s="100"/>
      <c r="AG20" s="100"/>
      <c r="AH20" s="100"/>
      <c r="AI20" s="100"/>
      <c r="AJ20" s="100"/>
      <c r="AK20" s="100"/>
      <c r="AL20" s="100"/>
      <c r="AM20" s="100"/>
      <c r="AN20" s="100"/>
      <c r="AO20" s="100"/>
      <c r="AP20" s="100"/>
      <c r="AQ20" s="100"/>
      <c r="AR20" s="100"/>
      <c r="AS20" s="100"/>
      <c r="AT20" s="100"/>
      <c r="AU20" s="100"/>
    </row>
    <row r="21" spans="3:49" ht="19.899999999999999" hidden="1" customHeight="1" outlineLevel="1">
      <c r="C21" s="100"/>
      <c r="D21" s="100">
        <v>20</v>
      </c>
      <c r="E21" s="100"/>
      <c r="F21" s="100" t="s">
        <v>263</v>
      </c>
      <c r="G21" s="100"/>
      <c r="H21" s="100"/>
      <c r="I21" s="100"/>
      <c r="J21" s="100"/>
      <c r="K21" s="100"/>
      <c r="L21" s="103">
        <f t="array" aca="1" ref="L21" ca="1">VLOOKUP($F$2,DataRecord,D21,0)</f>
        <v>0</v>
      </c>
      <c r="M21" s="100"/>
      <c r="N21" s="100"/>
      <c r="O21" s="100"/>
      <c r="P21" s="100"/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00"/>
      <c r="AC21" s="100"/>
      <c r="AD21" s="100"/>
      <c r="AE21" s="100"/>
      <c r="AF21" s="100"/>
      <c r="AG21" s="100"/>
      <c r="AH21" s="100"/>
      <c r="AI21" s="100"/>
      <c r="AJ21" s="100"/>
      <c r="AK21" s="100"/>
      <c r="AL21" s="100"/>
      <c r="AM21" s="100"/>
      <c r="AN21" s="100"/>
      <c r="AO21" s="100"/>
      <c r="AP21" s="100"/>
      <c r="AQ21" s="100"/>
      <c r="AR21" s="100"/>
      <c r="AS21" s="100"/>
      <c r="AT21" s="100"/>
      <c r="AU21" s="100"/>
    </row>
    <row r="22" spans="3:49" ht="19.899999999999999" hidden="1" customHeight="1" outlineLevel="1">
      <c r="C22" s="100"/>
      <c r="D22" s="100">
        <v>21</v>
      </c>
      <c r="E22" s="100"/>
      <c r="F22" s="100" t="s">
        <v>261</v>
      </c>
      <c r="G22" s="100"/>
      <c r="H22" s="100"/>
      <c r="I22" s="100"/>
      <c r="J22" s="100"/>
      <c r="K22" s="100"/>
      <c r="L22" s="103">
        <f t="array" aca="1" ref="L22" ca="1">VLOOKUP($F$2,DataRecord,D22,0)</f>
        <v>0</v>
      </c>
      <c r="M22" s="100"/>
      <c r="N22" s="100"/>
      <c r="O22" s="100"/>
      <c r="P22" s="100"/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  <c r="AB22" s="100"/>
      <c r="AC22" s="100"/>
      <c r="AD22" s="100"/>
      <c r="AE22" s="100"/>
      <c r="AF22" s="100"/>
      <c r="AG22" s="100"/>
      <c r="AH22" s="100"/>
      <c r="AI22" s="100"/>
      <c r="AJ22" s="100"/>
      <c r="AK22" s="100"/>
      <c r="AL22" s="100"/>
      <c r="AM22" s="100"/>
      <c r="AN22" s="100"/>
      <c r="AO22" s="100"/>
      <c r="AP22" s="100"/>
      <c r="AQ22" s="100"/>
      <c r="AR22" s="100"/>
      <c r="AS22" s="100"/>
      <c r="AT22" s="100"/>
      <c r="AU22" s="100"/>
    </row>
    <row r="23" spans="3:49" ht="19.899999999999999" hidden="1" customHeight="1" outlineLevel="1">
      <c r="C23" s="100"/>
      <c r="D23" s="100">
        <v>29</v>
      </c>
      <c r="E23" s="100"/>
      <c r="F23" s="100" t="s">
        <v>226</v>
      </c>
      <c r="G23" s="100"/>
      <c r="H23" s="100"/>
      <c r="I23" s="100"/>
      <c r="J23" s="100"/>
      <c r="K23" s="100"/>
      <c r="L23" s="103">
        <f t="array" aca="1" ref="L23" ca="1">VLOOKUP($F$2,DataRecord,D23,0)</f>
        <v>0</v>
      </c>
      <c r="M23" s="100"/>
      <c r="N23" s="100"/>
      <c r="O23" s="100"/>
      <c r="P23" s="100"/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  <c r="AB23" s="100"/>
      <c r="AC23" s="100"/>
      <c r="AD23" s="100"/>
      <c r="AE23" s="100"/>
      <c r="AF23" s="100"/>
      <c r="AG23" s="100"/>
      <c r="AH23" s="100"/>
      <c r="AI23" s="100"/>
      <c r="AJ23" s="100"/>
      <c r="AK23" s="100"/>
      <c r="AL23" s="100"/>
      <c r="AM23" s="100"/>
      <c r="AN23" s="100"/>
      <c r="AO23" s="100"/>
      <c r="AP23" s="100"/>
      <c r="AQ23" s="100"/>
      <c r="AR23" s="100"/>
      <c r="AS23" s="100"/>
      <c r="AT23" s="100"/>
      <c r="AU23" s="100"/>
    </row>
    <row r="24" spans="3:49" ht="19.899999999999999" hidden="1" customHeight="1" outlineLevel="1">
      <c r="C24" s="100"/>
      <c r="D24" s="100">
        <v>22</v>
      </c>
      <c r="E24" s="100"/>
      <c r="F24" s="100" t="s">
        <v>241</v>
      </c>
      <c r="G24" s="100"/>
      <c r="H24" s="100"/>
      <c r="I24" s="100"/>
      <c r="J24" s="100"/>
      <c r="K24" s="100"/>
      <c r="L24" s="103">
        <f t="array" aca="1" ref="L24" ca="1">VLOOKUP($F$2,DataRecord,D24,0)</f>
        <v>0</v>
      </c>
      <c r="M24" s="100"/>
      <c r="N24" s="100"/>
      <c r="O24" s="100"/>
      <c r="P24" s="100"/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  <c r="AB24" s="100"/>
      <c r="AC24" s="100"/>
      <c r="AD24" s="100"/>
      <c r="AE24" s="100"/>
      <c r="AF24" s="100"/>
      <c r="AG24" s="100"/>
      <c r="AH24" s="100"/>
      <c r="AI24" s="100"/>
      <c r="AJ24" s="100"/>
      <c r="AK24" s="100"/>
      <c r="AL24" s="100"/>
      <c r="AM24" s="100"/>
      <c r="AN24" s="100"/>
      <c r="AO24" s="100"/>
      <c r="AP24" s="100"/>
      <c r="AQ24" s="100"/>
      <c r="AR24" s="100"/>
      <c r="AS24" s="100"/>
      <c r="AT24" s="100"/>
      <c r="AU24" s="100"/>
    </row>
    <row r="25" spans="3:49" ht="19.899999999999999" hidden="1" customHeight="1" outlineLevel="1">
      <c r="C25" s="100"/>
      <c r="D25" s="100">
        <v>23</v>
      </c>
      <c r="E25" s="100"/>
      <c r="F25" s="100" t="s">
        <v>242</v>
      </c>
      <c r="G25" s="100"/>
      <c r="H25" s="100"/>
      <c r="I25" s="100"/>
      <c r="J25" s="100"/>
      <c r="K25" s="100"/>
      <c r="L25" s="103">
        <f t="array" aca="1" ref="L25" ca="1">VLOOKUP($F$2,DataRecord,D25,0)</f>
        <v>0</v>
      </c>
      <c r="M25" s="100"/>
      <c r="N25" s="100"/>
      <c r="O25" s="100"/>
      <c r="P25" s="100"/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  <c r="AB25" s="100"/>
      <c r="AC25" s="100"/>
      <c r="AD25" s="100"/>
      <c r="AE25" s="100"/>
      <c r="AF25" s="100"/>
      <c r="AG25" s="100"/>
      <c r="AH25" s="100"/>
      <c r="AI25" s="100"/>
      <c r="AJ25" s="100"/>
      <c r="AK25" s="100"/>
      <c r="AL25" s="100"/>
      <c r="AM25" s="100"/>
      <c r="AN25" s="100"/>
      <c r="AO25" s="100"/>
      <c r="AP25" s="100"/>
      <c r="AQ25" s="100"/>
      <c r="AR25" s="100"/>
      <c r="AS25" s="100"/>
      <c r="AT25" s="100"/>
      <c r="AU25" s="100"/>
    </row>
    <row r="26" spans="3:49" ht="19.899999999999999" hidden="1" customHeight="1" outlineLevel="1">
      <c r="C26" s="100"/>
      <c r="D26" s="100">
        <v>24</v>
      </c>
      <c r="E26" s="100"/>
      <c r="F26" s="100" t="s">
        <v>211</v>
      </c>
      <c r="G26" s="100"/>
      <c r="H26" s="100"/>
      <c r="I26" s="100"/>
      <c r="J26" s="100"/>
      <c r="K26" s="100"/>
      <c r="L26" s="103">
        <f t="array" aca="1" ref="L26" ca="1">VLOOKUP($F$2,DataRecord,D26,0)</f>
        <v>0</v>
      </c>
      <c r="M26" s="100"/>
      <c r="N26" s="100"/>
      <c r="O26" s="100"/>
      <c r="P26" s="100"/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  <c r="AB26" s="100"/>
      <c r="AC26" s="100"/>
      <c r="AD26" s="100"/>
      <c r="AE26" s="100"/>
      <c r="AF26" s="100"/>
      <c r="AG26" s="100"/>
      <c r="AH26" s="100"/>
      <c r="AI26" s="100"/>
      <c r="AJ26" s="100"/>
      <c r="AK26" s="100"/>
      <c r="AL26" s="100"/>
      <c r="AM26" s="100"/>
      <c r="AN26" s="100"/>
      <c r="AO26" s="100"/>
      <c r="AP26" s="100"/>
      <c r="AQ26" s="100"/>
      <c r="AR26" s="100"/>
      <c r="AS26" s="100"/>
      <c r="AT26" s="100"/>
      <c r="AU26" s="100"/>
    </row>
    <row r="27" spans="3:49" ht="19.899999999999999" hidden="1" customHeight="1" outlineLevel="1">
      <c r="C27" s="100"/>
      <c r="D27" s="100">
        <v>25</v>
      </c>
      <c r="E27" s="100"/>
      <c r="F27" s="100" t="s">
        <v>212</v>
      </c>
      <c r="G27" s="100"/>
      <c r="H27" s="100"/>
      <c r="I27" s="100"/>
      <c r="J27" s="100"/>
      <c r="K27" s="100"/>
      <c r="L27" s="103">
        <f t="array" aca="1" ref="L27" ca="1">VLOOKUP($F$2,DataRecord,D27,0)</f>
        <v>0</v>
      </c>
      <c r="M27" s="100"/>
      <c r="N27" s="100"/>
      <c r="O27" s="100"/>
      <c r="P27" s="100"/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  <c r="AB27" s="100"/>
      <c r="AC27" s="100"/>
      <c r="AD27" s="100"/>
      <c r="AE27" s="100"/>
      <c r="AF27" s="100"/>
      <c r="AG27" s="100"/>
      <c r="AH27" s="100"/>
      <c r="AI27" s="100"/>
      <c r="AJ27" s="100"/>
      <c r="AK27" s="100"/>
      <c r="AL27" s="100"/>
      <c r="AM27" s="100"/>
      <c r="AN27" s="100"/>
      <c r="AO27" s="100"/>
      <c r="AP27" s="100"/>
      <c r="AQ27" s="100"/>
      <c r="AR27" s="100"/>
      <c r="AS27" s="100"/>
      <c r="AT27" s="100"/>
      <c r="AU27" s="100"/>
    </row>
    <row r="28" spans="3:49" ht="23.25" collapsed="1"/>
    <row r="29" spans="3:49" ht="4.9000000000000004" customHeight="1" thickBot="1"/>
    <row r="30" spans="3:49" ht="19.899999999999999" customHeight="1">
      <c r="C30" s="326"/>
      <c r="D30" s="327"/>
      <c r="E30" s="327"/>
      <c r="F30" s="327"/>
      <c r="G30" s="283"/>
      <c r="H30" s="283"/>
      <c r="I30" s="283"/>
      <c r="J30" s="283"/>
      <c r="K30" s="283"/>
      <c r="L30" s="283"/>
      <c r="M30" s="284"/>
      <c r="N30" s="290" t="s">
        <v>23</v>
      </c>
      <c r="O30" s="291"/>
      <c r="P30" s="291"/>
      <c r="Q30" s="291"/>
      <c r="R30" s="291"/>
      <c r="S30" s="291"/>
      <c r="T30" s="291"/>
      <c r="U30" s="291"/>
      <c r="V30" s="291"/>
      <c r="W30" s="291"/>
      <c r="X30" s="291"/>
      <c r="Y30" s="291"/>
      <c r="Z30" s="291"/>
      <c r="AA30" s="291"/>
      <c r="AB30" s="291"/>
      <c r="AC30" s="291"/>
      <c r="AD30" s="291"/>
      <c r="AE30" s="291"/>
      <c r="AF30" s="291"/>
      <c r="AG30" s="291"/>
      <c r="AH30" s="291"/>
      <c r="AI30" s="291"/>
      <c r="AJ30" s="291"/>
      <c r="AK30" s="292"/>
      <c r="AL30" s="332" t="s">
        <v>69</v>
      </c>
      <c r="AM30" s="333"/>
      <c r="AN30" s="333"/>
      <c r="AO30" s="333"/>
      <c r="AP30" s="333"/>
      <c r="AQ30" s="333"/>
      <c r="AR30" s="333"/>
      <c r="AS30" s="333"/>
      <c r="AT30" s="334"/>
      <c r="AW30" s="144"/>
    </row>
    <row r="31" spans="3:49" ht="12" customHeight="1">
      <c r="C31" s="328"/>
      <c r="D31" s="329"/>
      <c r="E31" s="329"/>
      <c r="F31" s="329"/>
      <c r="G31" s="268"/>
      <c r="H31" s="268"/>
      <c r="I31" s="268"/>
      <c r="J31" s="268"/>
      <c r="K31" s="268"/>
      <c r="L31" s="268"/>
      <c r="M31" s="285"/>
      <c r="N31" s="293"/>
      <c r="O31" s="294"/>
      <c r="P31" s="294"/>
      <c r="Q31" s="294"/>
      <c r="R31" s="294"/>
      <c r="S31" s="294"/>
      <c r="T31" s="294"/>
      <c r="U31" s="294"/>
      <c r="V31" s="294"/>
      <c r="W31" s="294"/>
      <c r="X31" s="294"/>
      <c r="Y31" s="294"/>
      <c r="Z31" s="294"/>
      <c r="AA31" s="294"/>
      <c r="AB31" s="294"/>
      <c r="AC31" s="294"/>
      <c r="AD31" s="294"/>
      <c r="AE31" s="294"/>
      <c r="AF31" s="294"/>
      <c r="AG31" s="294"/>
      <c r="AH31" s="294"/>
      <c r="AI31" s="294"/>
      <c r="AJ31" s="294"/>
      <c r="AK31" s="295"/>
      <c r="AL31" s="302" t="str">
        <f ca="1">"*"&amp;AL33&amp;"*"</f>
        <v>*EN-26-017*</v>
      </c>
      <c r="AM31" s="303"/>
      <c r="AN31" s="303"/>
      <c r="AO31" s="303"/>
      <c r="AP31" s="303"/>
      <c r="AQ31" s="303"/>
      <c r="AR31" s="303"/>
      <c r="AS31" s="303"/>
      <c r="AT31" s="304"/>
      <c r="AW31" s="144"/>
    </row>
    <row r="32" spans="3:49" ht="12" customHeight="1">
      <c r="C32" s="328"/>
      <c r="D32" s="329"/>
      <c r="E32" s="329"/>
      <c r="F32" s="329"/>
      <c r="G32" s="286"/>
      <c r="H32" s="286"/>
      <c r="I32" s="286"/>
      <c r="J32" s="286"/>
      <c r="K32" s="286"/>
      <c r="L32" s="286"/>
      <c r="M32" s="287"/>
      <c r="N32" s="296" t="s">
        <v>24</v>
      </c>
      <c r="O32" s="297"/>
      <c r="P32" s="297"/>
      <c r="Q32" s="297"/>
      <c r="R32" s="297"/>
      <c r="S32" s="297"/>
      <c r="T32" s="297"/>
      <c r="U32" s="297"/>
      <c r="V32" s="297"/>
      <c r="W32" s="297"/>
      <c r="X32" s="297"/>
      <c r="Y32" s="297"/>
      <c r="Z32" s="297"/>
      <c r="AA32" s="297"/>
      <c r="AB32" s="297"/>
      <c r="AC32" s="297"/>
      <c r="AD32" s="297"/>
      <c r="AE32" s="297"/>
      <c r="AF32" s="297"/>
      <c r="AG32" s="297"/>
      <c r="AH32" s="297"/>
      <c r="AI32" s="297"/>
      <c r="AJ32" s="297"/>
      <c r="AK32" s="298"/>
      <c r="AL32" s="302"/>
      <c r="AM32" s="303"/>
      <c r="AN32" s="303"/>
      <c r="AO32" s="303"/>
      <c r="AP32" s="303"/>
      <c r="AQ32" s="303"/>
      <c r="AR32" s="303"/>
      <c r="AS32" s="303"/>
      <c r="AT32" s="304"/>
      <c r="AW32" s="144"/>
    </row>
    <row r="33" spans="3:54" ht="19.899999999999999" customHeight="1" thickBot="1">
      <c r="C33" s="330"/>
      <c r="D33" s="331"/>
      <c r="E33" s="331"/>
      <c r="F33" s="331"/>
      <c r="G33" s="288"/>
      <c r="H33" s="288"/>
      <c r="I33" s="288"/>
      <c r="J33" s="288"/>
      <c r="K33" s="288"/>
      <c r="L33" s="288"/>
      <c r="M33" s="289"/>
      <c r="N33" s="299"/>
      <c r="O33" s="300"/>
      <c r="P33" s="300"/>
      <c r="Q33" s="300"/>
      <c r="R33" s="300"/>
      <c r="S33" s="300"/>
      <c r="T33" s="300"/>
      <c r="U33" s="300"/>
      <c r="V33" s="300"/>
      <c r="W33" s="300"/>
      <c r="X33" s="300"/>
      <c r="Y33" s="300"/>
      <c r="Z33" s="300"/>
      <c r="AA33" s="300"/>
      <c r="AB33" s="300"/>
      <c r="AC33" s="300"/>
      <c r="AD33" s="300"/>
      <c r="AE33" s="300"/>
      <c r="AF33" s="300"/>
      <c r="AG33" s="300"/>
      <c r="AH33" s="300"/>
      <c r="AI33" s="300"/>
      <c r="AJ33" s="300"/>
      <c r="AK33" s="301"/>
      <c r="AL33" s="335" t="str">
        <f ca="1">F2</f>
        <v>EN-26-017</v>
      </c>
      <c r="AM33" s="336"/>
      <c r="AN33" s="336"/>
      <c r="AO33" s="336"/>
      <c r="AP33" s="336"/>
      <c r="AQ33" s="336"/>
      <c r="AR33" s="336"/>
      <c r="AS33" s="336"/>
      <c r="AT33" s="337"/>
      <c r="AW33" s="144"/>
    </row>
    <row r="34" spans="3:54" ht="25.15" customHeight="1">
      <c r="C34" s="344" t="s">
        <v>25</v>
      </c>
      <c r="D34" s="345"/>
      <c r="E34" s="345"/>
      <c r="F34" s="345"/>
      <c r="G34" s="345"/>
      <c r="H34" s="345"/>
      <c r="I34" s="345"/>
      <c r="J34" s="345"/>
      <c r="K34" s="345"/>
      <c r="L34" s="345"/>
      <c r="M34" s="345"/>
      <c r="N34" s="345"/>
      <c r="O34" s="345"/>
      <c r="P34" s="345"/>
      <c r="Q34" s="345"/>
      <c r="R34" s="345"/>
      <c r="S34" s="345"/>
      <c r="T34" s="345"/>
      <c r="U34" s="345"/>
      <c r="V34" s="345"/>
      <c r="W34" s="345"/>
      <c r="X34" s="345"/>
      <c r="Y34" s="345"/>
      <c r="Z34" s="345"/>
      <c r="AA34" s="345"/>
      <c r="AB34" s="345"/>
      <c r="AC34" s="345"/>
      <c r="AD34" s="345"/>
      <c r="AE34" s="345"/>
      <c r="AF34" s="345"/>
      <c r="AG34" s="345"/>
      <c r="AH34" s="345"/>
      <c r="AI34" s="345"/>
      <c r="AJ34" s="345"/>
      <c r="AK34" s="345"/>
      <c r="AL34" s="345"/>
      <c r="AM34" s="345"/>
      <c r="AN34" s="345"/>
      <c r="AO34" s="345"/>
      <c r="AP34" s="345"/>
      <c r="AQ34" s="345"/>
      <c r="AR34" s="345"/>
      <c r="AS34" s="345"/>
      <c r="AT34" s="346"/>
      <c r="AW34" s="146" t="s">
        <v>272</v>
      </c>
    </row>
    <row r="35" spans="3:54" ht="10.15" customHeight="1">
      <c r="C35" s="64"/>
      <c r="D35" s="65"/>
      <c r="E35" s="65"/>
      <c r="F35" s="65"/>
      <c r="G35" s="65"/>
      <c r="H35" s="65"/>
      <c r="I35" s="65"/>
      <c r="J35" s="65"/>
      <c r="K35" s="65"/>
      <c r="L35" s="65"/>
      <c r="M35" s="65"/>
      <c r="N35" s="65"/>
      <c r="O35" s="65"/>
      <c r="P35" s="65"/>
      <c r="Q35" s="65"/>
      <c r="R35" s="65"/>
      <c r="S35" s="65"/>
      <c r="T35" s="65"/>
      <c r="U35" s="65"/>
      <c r="V35" s="65"/>
      <c r="W35" s="65"/>
      <c r="X35" s="65"/>
      <c r="Y35" s="65"/>
      <c r="Z35" s="65"/>
      <c r="AA35" s="65"/>
      <c r="AB35" s="65"/>
      <c r="AC35" s="65"/>
      <c r="AD35" s="65"/>
      <c r="AE35" s="65"/>
      <c r="AF35" s="65"/>
      <c r="AG35" s="65"/>
      <c r="AH35" s="65"/>
      <c r="AI35" s="65"/>
      <c r="AJ35" s="65"/>
      <c r="AK35" s="65"/>
      <c r="AL35" s="65"/>
      <c r="AM35" s="65"/>
      <c r="AN35" s="65"/>
      <c r="AO35" s="65"/>
      <c r="AP35" s="65"/>
      <c r="AQ35" s="65"/>
      <c r="AR35" s="65"/>
      <c r="AS35" s="65"/>
      <c r="AT35" s="66"/>
    </row>
    <row r="36" spans="3:54" s="67" customFormat="1" ht="28.15" customHeight="1">
      <c r="C36" s="68"/>
      <c r="D36" s="60" t="s">
        <v>134</v>
      </c>
      <c r="M36" s="343" t="s">
        <v>100</v>
      </c>
      <c r="N36" s="343"/>
      <c r="O36" s="343"/>
      <c r="P36" s="343"/>
      <c r="Q36" s="343"/>
      <c r="R36" s="343"/>
      <c r="S36" s="343"/>
      <c r="T36" s="343"/>
      <c r="U36" s="343"/>
      <c r="V36" s="343"/>
      <c r="W36" s="343"/>
      <c r="X36" s="343"/>
      <c r="Y36" s="343"/>
      <c r="Z36" s="343"/>
      <c r="AA36" s="343"/>
      <c r="AB36" s="343"/>
      <c r="AC36" s="211"/>
      <c r="AD36" s="212"/>
      <c r="AE36" s="60" t="s">
        <v>28</v>
      </c>
      <c r="AF36" s="61"/>
      <c r="AG36" s="61"/>
      <c r="AH36" s="61"/>
      <c r="AL36" s="341">
        <f ca="1">L6</f>
        <v>46155</v>
      </c>
      <c r="AM36" s="341"/>
      <c r="AN36" s="341"/>
      <c r="AO36" s="341"/>
      <c r="AP36" s="341"/>
      <c r="AQ36" s="341"/>
      <c r="AR36" s="341"/>
      <c r="AS36" s="341"/>
      <c r="AT36" s="69"/>
    </row>
    <row r="37" spans="3:54" s="67" customFormat="1" ht="4.9000000000000004" customHeight="1">
      <c r="C37" s="68"/>
      <c r="D37" s="60"/>
      <c r="M37" s="209"/>
      <c r="N37" s="209"/>
      <c r="O37" s="209"/>
      <c r="P37" s="209"/>
      <c r="Q37" s="209"/>
      <c r="R37" s="209"/>
      <c r="S37" s="209"/>
      <c r="T37" s="209"/>
      <c r="U37" s="209"/>
      <c r="V37" s="209"/>
      <c r="W37" s="209"/>
      <c r="X37" s="209"/>
      <c r="Y37" s="209"/>
      <c r="Z37" s="209"/>
      <c r="AA37" s="209"/>
      <c r="AB37" s="209"/>
      <c r="AC37" s="209"/>
      <c r="AD37" s="212"/>
      <c r="AE37" s="60"/>
      <c r="AF37" s="61"/>
      <c r="AG37" s="61"/>
      <c r="AH37" s="61"/>
      <c r="AL37" s="210"/>
      <c r="AM37" s="210"/>
      <c r="AN37" s="210"/>
      <c r="AO37" s="210"/>
      <c r="AP37" s="210"/>
      <c r="AQ37" s="210"/>
      <c r="AR37" s="210"/>
      <c r="AS37" s="210"/>
      <c r="AT37" s="69"/>
    </row>
    <row r="38" spans="3:54" s="67" customFormat="1" ht="28.15" customHeight="1">
      <c r="C38" s="68"/>
      <c r="D38" s="60" t="s">
        <v>27</v>
      </c>
      <c r="M38" s="347" t="str">
        <f ca="1">$L$5</f>
        <v>ย้ายสายโทรศัพเบอร์เดิม</v>
      </c>
      <c r="N38" s="347"/>
      <c r="O38" s="347"/>
      <c r="P38" s="347"/>
      <c r="Q38" s="347"/>
      <c r="R38" s="347"/>
      <c r="S38" s="347"/>
      <c r="T38" s="347"/>
      <c r="U38" s="347"/>
      <c r="V38" s="347"/>
      <c r="W38" s="347"/>
      <c r="X38" s="347"/>
      <c r="Y38" s="347"/>
      <c r="Z38" s="347"/>
      <c r="AA38" s="347"/>
      <c r="AB38" s="347"/>
      <c r="AC38" s="209"/>
      <c r="AD38" s="212"/>
      <c r="AE38" s="60" t="s">
        <v>29</v>
      </c>
      <c r="AF38" s="61"/>
      <c r="AG38" s="61"/>
      <c r="AH38" s="61"/>
      <c r="AL38" s="342" t="str">
        <f ca="1">L7</f>
        <v>08.30 AM</v>
      </c>
      <c r="AM38" s="342"/>
      <c r="AN38" s="342"/>
      <c r="AO38" s="342"/>
      <c r="AP38" s="342"/>
      <c r="AQ38" s="342"/>
      <c r="AR38" s="342"/>
      <c r="AS38" s="342"/>
      <c r="AT38" s="69"/>
    </row>
    <row r="39" spans="3:54" ht="10.15" customHeight="1">
      <c r="C39" s="56"/>
      <c r="AT39" s="57"/>
      <c r="BB39" s="55" t="s">
        <v>291</v>
      </c>
    </row>
    <row r="40" spans="3:54" s="54" customFormat="1" ht="22.9" customHeight="1">
      <c r="C40" s="58"/>
      <c r="D40" s="72" t="s">
        <v>274</v>
      </c>
      <c r="M40" s="206"/>
      <c r="N40" s="54" t="s">
        <v>30</v>
      </c>
      <c r="U40" s="207" t="str">
        <f ca="1">IF($L$8="Equipment","P","")</f>
        <v/>
      </c>
      <c r="V40" s="54" t="s">
        <v>364</v>
      </c>
      <c r="AE40" s="207" t="str">
        <f t="array" aca="1" ref="AE40" ca="1">IF($L$8="Facilities","P","")</f>
        <v/>
      </c>
      <c r="AF40" s="54" t="s">
        <v>31</v>
      </c>
      <c r="AJ40" s="92"/>
      <c r="AK40" s="92"/>
      <c r="AL40" s="92"/>
      <c r="AM40" s="206" t="str">
        <f t="array" aca="1" ref="AM40" ca="1">IF($L$8="Other","P","")</f>
        <v>P</v>
      </c>
      <c r="AN40" s="54" t="s">
        <v>32</v>
      </c>
      <c r="AO40" s="92"/>
      <c r="AP40" s="92"/>
      <c r="AQ40" s="92"/>
      <c r="AR40" s="92"/>
      <c r="AS40" s="92"/>
      <c r="AT40" s="59"/>
      <c r="AY40" s="54" t="s">
        <v>291</v>
      </c>
    </row>
    <row r="41" spans="3:54" s="54" customFormat="1" ht="4.9000000000000004" customHeight="1">
      <c r="C41" s="58"/>
      <c r="M41" s="116"/>
      <c r="U41" s="116"/>
      <c r="AE41" s="116"/>
      <c r="AT41" s="59"/>
    </row>
    <row r="42" spans="3:54" s="54" customFormat="1" ht="22.9" customHeight="1">
      <c r="C42" s="58"/>
      <c r="D42" s="72" t="s">
        <v>275</v>
      </c>
      <c r="M42" s="207"/>
      <c r="N42" s="54" t="s">
        <v>288</v>
      </c>
      <c r="U42" s="206" t="str">
        <f t="array" aca="1" ref="U42" ca="1">IF($L$9="Modify","P","")</f>
        <v>P</v>
      </c>
      <c r="V42" s="54" t="s">
        <v>33</v>
      </c>
      <c r="AE42" s="206" t="str">
        <f t="array" aca="1" ref="AE42" ca="1">IF($L$8="Machinery","P","")</f>
        <v/>
      </c>
      <c r="AF42" s="54" t="s">
        <v>34</v>
      </c>
      <c r="AT42" s="59"/>
    </row>
    <row r="43" spans="3:54" s="54" customFormat="1" ht="4.9000000000000004" customHeight="1">
      <c r="C43" s="58"/>
      <c r="M43" s="116"/>
      <c r="U43" s="116"/>
      <c r="AT43" s="59"/>
    </row>
    <row r="44" spans="3:54" s="54" customFormat="1" ht="22.9" customHeight="1">
      <c r="C44" s="58"/>
      <c r="D44" s="72" t="s">
        <v>276</v>
      </c>
      <c r="M44" s="207" t="str">
        <f t="array" aca="1" ref="M44" ca="1">IF($L$10="Break Down","P","")</f>
        <v/>
      </c>
      <c r="N44" s="54" t="s">
        <v>363</v>
      </c>
      <c r="U44" s="206" t="str">
        <f t="array" aca="1" ref="U44" ca="1">IF($L$10="Wait for Maintenance","P","")</f>
        <v/>
      </c>
      <c r="V44" s="54" t="s">
        <v>359</v>
      </c>
      <c r="AT44" s="59"/>
    </row>
    <row r="45" spans="3:54" s="54" customFormat="1" ht="10.15" customHeight="1">
      <c r="C45" s="58"/>
      <c r="AT45" s="59"/>
    </row>
    <row r="46" spans="3:54" s="61" customFormat="1" ht="22.9" customHeight="1">
      <c r="C46" s="62"/>
      <c r="D46" s="70" t="s">
        <v>66</v>
      </c>
      <c r="AT46" s="63"/>
    </row>
    <row r="47" spans="3:54" s="61" customFormat="1" ht="25.5">
      <c r="C47" s="62"/>
      <c r="D47" s="349" t="str">
        <f ca="1">"      "&amp;$L$11</f>
        <v xml:space="preserve">      ตอนนี้สายอยู่บนพรมไม่ได้เดินสายไว้ด้านล่าง</v>
      </c>
      <c r="E47" s="349"/>
      <c r="F47" s="349"/>
      <c r="G47" s="349"/>
      <c r="H47" s="349"/>
      <c r="I47" s="349"/>
      <c r="J47" s="349"/>
      <c r="K47" s="349"/>
      <c r="L47" s="349"/>
      <c r="M47" s="349"/>
      <c r="N47" s="349"/>
      <c r="O47" s="349"/>
      <c r="P47" s="349"/>
      <c r="Q47" s="349"/>
      <c r="R47" s="349"/>
      <c r="S47" s="349"/>
      <c r="T47" s="349"/>
      <c r="U47" s="349"/>
      <c r="V47" s="349"/>
      <c r="W47" s="349"/>
      <c r="X47" s="349"/>
      <c r="Y47" s="349"/>
      <c r="Z47" s="349"/>
      <c r="AA47" s="349"/>
      <c r="AB47" s="349"/>
      <c r="AC47" s="349"/>
      <c r="AD47" s="349"/>
      <c r="AE47" s="349"/>
      <c r="AF47" s="349"/>
      <c r="AG47" s="349"/>
      <c r="AH47" s="349"/>
      <c r="AI47" s="349"/>
      <c r="AJ47" s="349"/>
      <c r="AK47" s="349"/>
      <c r="AL47" s="349"/>
      <c r="AM47" s="349"/>
      <c r="AN47" s="349"/>
      <c r="AO47" s="349"/>
      <c r="AP47" s="349"/>
      <c r="AQ47" s="349"/>
      <c r="AR47" s="349"/>
      <c r="AS47" s="349"/>
      <c r="AT47" s="63"/>
    </row>
    <row r="48" spans="3:54" s="54" customFormat="1" ht="24" customHeight="1">
      <c r="C48" s="58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7"/>
      <c r="S48" s="137"/>
      <c r="T48" s="137"/>
      <c r="U48" s="137"/>
      <c r="V48" s="137"/>
      <c r="W48" s="137"/>
      <c r="X48" s="137"/>
      <c r="Y48" s="137"/>
      <c r="Z48" s="137"/>
      <c r="AA48" s="137"/>
      <c r="AB48" s="137"/>
      <c r="AC48" s="137"/>
      <c r="AD48" s="137"/>
      <c r="AE48" s="137"/>
      <c r="AF48" s="137"/>
      <c r="AG48" s="137"/>
      <c r="AH48" s="137"/>
      <c r="AI48" s="137"/>
      <c r="AJ48" s="137"/>
      <c r="AK48" s="137"/>
      <c r="AL48" s="137"/>
      <c r="AM48" s="137"/>
      <c r="AN48" s="137"/>
      <c r="AO48" s="137"/>
      <c r="AP48" s="137"/>
      <c r="AQ48" s="137"/>
      <c r="AR48" s="137"/>
      <c r="AS48" s="137"/>
      <c r="AT48" s="59"/>
    </row>
    <row r="49" spans="3:46" s="54" customFormat="1" ht="24" customHeight="1">
      <c r="C49" s="58"/>
      <c r="D49" s="348"/>
      <c r="E49" s="348"/>
      <c r="F49" s="348"/>
      <c r="G49" s="348"/>
      <c r="H49" s="348"/>
      <c r="I49" s="348"/>
      <c r="J49" s="348"/>
      <c r="K49" s="348"/>
      <c r="L49" s="348"/>
      <c r="M49" s="348"/>
      <c r="N49" s="348"/>
      <c r="O49" s="348"/>
      <c r="P49" s="348"/>
      <c r="Q49" s="348"/>
      <c r="R49" s="348"/>
      <c r="S49" s="348"/>
      <c r="T49" s="348"/>
      <c r="U49" s="348"/>
      <c r="V49" s="348"/>
      <c r="W49" s="348"/>
      <c r="X49" s="348"/>
      <c r="Y49" s="348"/>
      <c r="Z49" s="348"/>
      <c r="AA49" s="348"/>
      <c r="AB49" s="348"/>
      <c r="AC49" s="348"/>
      <c r="AD49" s="348"/>
      <c r="AE49" s="348"/>
      <c r="AF49" s="348"/>
      <c r="AG49" s="348"/>
      <c r="AH49" s="348"/>
      <c r="AI49" s="348"/>
      <c r="AJ49" s="348"/>
      <c r="AK49" s="348"/>
      <c r="AL49" s="348"/>
      <c r="AM49" s="348"/>
      <c r="AN49" s="348"/>
      <c r="AO49" s="348"/>
      <c r="AP49" s="348"/>
      <c r="AQ49" s="348"/>
      <c r="AR49" s="348"/>
      <c r="AS49" s="348"/>
      <c r="AT49" s="59"/>
    </row>
    <row r="50" spans="3:46" s="54" customFormat="1" ht="12" customHeight="1">
      <c r="C50" s="58"/>
      <c r="AT50" s="59"/>
    </row>
    <row r="51" spans="3:46" s="61" customFormat="1" ht="25.15" customHeight="1">
      <c r="C51" s="62"/>
      <c r="D51" s="267"/>
      <c r="E51" s="267"/>
      <c r="F51" s="267"/>
      <c r="G51" s="351"/>
      <c r="H51" s="351"/>
      <c r="I51" s="351"/>
      <c r="J51" s="351"/>
      <c r="K51" s="351"/>
      <c r="L51" s="351"/>
      <c r="M51" s="351"/>
      <c r="N51" s="351"/>
      <c r="O51" s="351"/>
      <c r="P51" s="351"/>
      <c r="Q51" s="351"/>
      <c r="R51" s="268"/>
      <c r="S51" s="268"/>
      <c r="T51" s="268"/>
      <c r="U51" s="268"/>
      <c r="Y51" s="267" t="s">
        <v>83</v>
      </c>
      <c r="Z51" s="267"/>
      <c r="AA51" s="267"/>
      <c r="AB51" s="350" t="str">
        <f ca="1">$L$12</f>
        <v>สำลี ชัยศิรินทร์</v>
      </c>
      <c r="AC51" s="350"/>
      <c r="AD51" s="350"/>
      <c r="AE51" s="350"/>
      <c r="AF51" s="350"/>
      <c r="AG51" s="350"/>
      <c r="AH51" s="350"/>
      <c r="AI51" s="350"/>
      <c r="AJ51" s="350"/>
      <c r="AK51" s="350"/>
      <c r="AL51" s="350"/>
      <c r="AM51" s="268" t="s">
        <v>85</v>
      </c>
      <c r="AN51" s="268"/>
      <c r="AO51" s="268"/>
      <c r="AP51" s="268"/>
      <c r="AQ51" s="268"/>
      <c r="AR51" s="268"/>
      <c r="AS51" s="268"/>
      <c r="AT51" s="63"/>
    </row>
    <row r="52" spans="3:46" ht="10.15" customHeight="1">
      <c r="C52" s="56"/>
      <c r="AT52" s="57"/>
    </row>
    <row r="53" spans="3:46" ht="25.15" customHeight="1">
      <c r="C53" s="320" t="s">
        <v>26</v>
      </c>
      <c r="D53" s="321"/>
      <c r="E53" s="321"/>
      <c r="F53" s="321"/>
      <c r="G53" s="321"/>
      <c r="H53" s="321"/>
      <c r="I53" s="321"/>
      <c r="J53" s="321"/>
      <c r="K53" s="321"/>
      <c r="L53" s="321"/>
      <c r="M53" s="321"/>
      <c r="N53" s="321"/>
      <c r="O53" s="321"/>
      <c r="P53" s="321"/>
      <c r="Q53" s="321"/>
      <c r="R53" s="321"/>
      <c r="S53" s="321"/>
      <c r="T53" s="321"/>
      <c r="U53" s="321"/>
      <c r="V53" s="321"/>
      <c r="W53" s="321"/>
      <c r="X53" s="321"/>
      <c r="Y53" s="321"/>
      <c r="Z53" s="321"/>
      <c r="AA53" s="321"/>
      <c r="AB53" s="321"/>
      <c r="AC53" s="321"/>
      <c r="AD53" s="321"/>
      <c r="AE53" s="321"/>
      <c r="AF53" s="321"/>
      <c r="AG53" s="321"/>
      <c r="AH53" s="321"/>
      <c r="AI53" s="321"/>
      <c r="AJ53" s="321"/>
      <c r="AK53" s="321"/>
      <c r="AL53" s="321"/>
      <c r="AM53" s="321"/>
      <c r="AN53" s="321"/>
      <c r="AO53" s="321"/>
      <c r="AP53" s="321"/>
      <c r="AQ53" s="321"/>
      <c r="AR53" s="321"/>
      <c r="AS53" s="321"/>
      <c r="AT53" s="322"/>
    </row>
    <row r="54" spans="3:46" ht="4.9000000000000004" customHeight="1">
      <c r="C54" s="64"/>
      <c r="D54" s="65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65"/>
      <c r="AK54" s="65"/>
      <c r="AL54" s="65"/>
      <c r="AM54" s="65"/>
      <c r="AN54" s="65"/>
      <c r="AO54" s="65"/>
      <c r="AP54" s="65"/>
      <c r="AQ54" s="65"/>
      <c r="AR54" s="65"/>
      <c r="AS54" s="65"/>
      <c r="AT54" s="66"/>
    </row>
    <row r="55" spans="3:46" ht="19.899999999999999" customHeight="1">
      <c r="C55" s="56"/>
      <c r="D55" s="72" t="s">
        <v>62</v>
      </c>
      <c r="AT55" s="57"/>
    </row>
    <row r="56" spans="3:46" ht="4.9000000000000004" customHeight="1">
      <c r="C56" s="56"/>
      <c r="AT56" s="57"/>
    </row>
    <row r="57" spans="3:46" ht="19.899999999999999" customHeight="1">
      <c r="C57" s="56"/>
      <c r="D57" s="208" t="str">
        <f ca="1">IF($L$13="อะไหล่เสื่อมคุณภาพ","P","")</f>
        <v/>
      </c>
      <c r="E57" s="54" t="s">
        <v>277</v>
      </c>
      <c r="R57" s="208" t="str">
        <f t="array" aca="1" ref="R57" ca="1">IF($L$13="ขาดการบำรุงรักษา","P","")</f>
        <v/>
      </c>
      <c r="S57" s="54" t="s">
        <v>279</v>
      </c>
      <c r="AF57" s="208" t="str">
        <f t="array" aca="1" ref="AF57" ca="1">IF($L$13="ไม่ได้ซ่อมบำรุงตามแผน","P","")</f>
        <v/>
      </c>
      <c r="AG57" s="54" t="s">
        <v>273</v>
      </c>
      <c r="AT57" s="57"/>
    </row>
    <row r="58" spans="3:46" ht="4.9000000000000004" customHeight="1">
      <c r="C58" s="56"/>
      <c r="E58" s="54"/>
      <c r="S58" s="54"/>
      <c r="AT58" s="57"/>
    </row>
    <row r="59" spans="3:46" ht="19.899999999999999" customHeight="1">
      <c r="C59" s="56"/>
      <c r="D59" s="208" t="str">
        <f t="array" aca="1" ref="D59" ca="1">IF($L$13="ใช้งานผิดประเภท","P","")</f>
        <v/>
      </c>
      <c r="E59" s="54" t="s">
        <v>278</v>
      </c>
      <c r="R59" s="208" t="str">
        <f t="array" aca="1" ref="R59" ca="1">IF($L$13="อุบัติเหตุ","P","")</f>
        <v/>
      </c>
      <c r="S59" s="54" t="s">
        <v>280</v>
      </c>
      <c r="AF59" s="208" t="str">
        <f t="array" aca="1" ref="AF59" ca="1">IF($L$13="อื่นๆ","P","")</f>
        <v/>
      </c>
      <c r="AG59" s="54" t="s">
        <v>32</v>
      </c>
      <c r="AK59" s="73"/>
      <c r="AL59" s="73"/>
      <c r="AM59" s="73"/>
      <c r="AN59" s="73"/>
      <c r="AO59" s="73"/>
      <c r="AP59" s="73"/>
      <c r="AQ59" s="73"/>
      <c r="AR59" s="73"/>
      <c r="AS59" s="73"/>
      <c r="AT59" s="57"/>
    </row>
    <row r="60" spans="3:46" ht="10.15" customHeight="1">
      <c r="C60" s="56"/>
      <c r="E60" s="54"/>
      <c r="R60" s="54"/>
      <c r="AT60" s="57"/>
    </row>
    <row r="61" spans="3:46" ht="25.15" customHeight="1">
      <c r="C61" s="89"/>
      <c r="D61" s="93" t="s">
        <v>63</v>
      </c>
      <c r="E61" s="90"/>
      <c r="F61" s="90"/>
      <c r="G61" s="90"/>
      <c r="H61" s="90"/>
      <c r="I61" s="90"/>
      <c r="J61" s="90"/>
      <c r="K61" s="90"/>
      <c r="L61" s="90"/>
      <c r="M61" s="90"/>
      <c r="N61" s="90"/>
      <c r="O61" s="90"/>
      <c r="P61" s="90"/>
      <c r="Q61" s="90"/>
      <c r="R61" s="90"/>
      <c r="S61" s="90"/>
      <c r="T61" s="90"/>
      <c r="U61" s="90"/>
      <c r="V61" s="90"/>
      <c r="W61" s="90"/>
      <c r="X61" s="90"/>
      <c r="Y61" s="90"/>
      <c r="Z61" s="90"/>
      <c r="AA61" s="90"/>
      <c r="AB61" s="90"/>
      <c r="AC61" s="80"/>
      <c r="AD61" s="93" t="s">
        <v>264</v>
      </c>
      <c r="AE61" s="90"/>
      <c r="AF61" s="90"/>
      <c r="AG61" s="90"/>
      <c r="AH61" s="90"/>
      <c r="AI61" s="90"/>
      <c r="AJ61" s="90"/>
      <c r="AK61" s="90"/>
      <c r="AL61" s="90"/>
      <c r="AM61" s="90"/>
      <c r="AN61" s="90"/>
      <c r="AO61" s="90"/>
      <c r="AP61" s="90"/>
      <c r="AQ61" s="90"/>
      <c r="AR61" s="90"/>
      <c r="AS61" s="90"/>
      <c r="AT61" s="91"/>
    </row>
    <row r="62" spans="3:46" ht="4.9000000000000004" customHeight="1">
      <c r="C62" s="56"/>
      <c r="S62" s="54"/>
      <c r="AC62" s="80"/>
      <c r="AT62" s="57"/>
    </row>
    <row r="63" spans="3:46" ht="19.899999999999999" customHeight="1">
      <c r="C63" s="56"/>
      <c r="D63" s="208" t="str">
        <f t="array" aca="1" ref="D63" ca="1">IF($L$15="ซ่อมแบบชั่วคราว","P","")</f>
        <v/>
      </c>
      <c r="E63" s="54" t="s">
        <v>93</v>
      </c>
      <c r="S63" s="54"/>
      <c r="AC63" s="80"/>
      <c r="AD63" s="208" t="str">
        <f t="array" aca="1" ref="AD63" ca="1">IF($L$21="ภายใน","P","")</f>
        <v/>
      </c>
      <c r="AE63" s="54" t="s">
        <v>73</v>
      </c>
      <c r="AF63" s="54"/>
      <c r="AG63" s="54"/>
      <c r="AH63" s="54"/>
      <c r="AI63" s="54"/>
      <c r="AJ63" s="54"/>
      <c r="AK63" s="54"/>
      <c r="AL63" s="208" t="str">
        <f t="array" aca="1" ref="AL63" ca="1">IF($L$21="ภายนอก","P","")</f>
        <v/>
      </c>
      <c r="AM63" s="54" t="s">
        <v>74</v>
      </c>
      <c r="AN63" s="54"/>
      <c r="AO63" s="54"/>
      <c r="AP63" s="92"/>
      <c r="AQ63" s="92"/>
      <c r="AR63" s="92"/>
      <c r="AS63" s="92"/>
      <c r="AT63" s="57"/>
    </row>
    <row r="64" spans="3:46" ht="4.9000000000000004" customHeight="1">
      <c r="C64" s="56"/>
      <c r="D64" s="131"/>
      <c r="E64" s="54"/>
      <c r="S64" s="54"/>
      <c r="AC64" s="80"/>
      <c r="AD64" s="132"/>
      <c r="AE64" s="54"/>
      <c r="AF64" s="54"/>
      <c r="AG64" s="54"/>
      <c r="AH64" s="54"/>
      <c r="AI64" s="54"/>
      <c r="AJ64" s="54"/>
      <c r="AK64" s="54"/>
      <c r="AL64" s="133"/>
      <c r="AM64" s="54"/>
      <c r="AN64" s="54"/>
      <c r="AO64" s="54"/>
      <c r="AP64" s="92"/>
      <c r="AQ64" s="92"/>
      <c r="AR64" s="92"/>
      <c r="AS64" s="92"/>
      <c r="AT64" s="57"/>
    </row>
    <row r="65" spans="3:46" ht="19.899999999999999" customHeight="1">
      <c r="C65" s="56"/>
      <c r="E65" s="54" t="s">
        <v>72</v>
      </c>
      <c r="S65" s="54"/>
      <c r="AC65" s="373" t="s">
        <v>206</v>
      </c>
      <c r="AD65" s="361"/>
      <c r="AE65" s="361"/>
      <c r="AF65" s="361"/>
      <c r="AG65" s="361"/>
      <c r="AH65" s="256" t="s">
        <v>64</v>
      </c>
      <c r="AI65" s="256"/>
      <c r="AJ65" s="385" t="str">
        <f ca="1">IF(AL63="P",L22,"")</f>
        <v/>
      </c>
      <c r="AK65" s="385"/>
      <c r="AL65" s="385"/>
      <c r="AM65" s="385"/>
      <c r="AN65" s="385"/>
      <c r="AO65" s="385"/>
      <c r="AP65" s="385"/>
      <c r="AQ65" s="385"/>
      <c r="AR65" s="385"/>
      <c r="AS65" s="385"/>
      <c r="AT65" s="57"/>
    </row>
    <row r="66" spans="3:46" ht="4.9000000000000004" customHeight="1">
      <c r="C66" s="56"/>
      <c r="E66" s="54"/>
      <c r="S66" s="54"/>
      <c r="AC66" s="80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54"/>
      <c r="AP66" s="92"/>
      <c r="AQ66" s="92"/>
      <c r="AR66" s="92"/>
      <c r="AS66" s="92"/>
      <c r="AT66" s="57"/>
    </row>
    <row r="67" spans="3:46" ht="19.899999999999999" customHeight="1">
      <c r="C67" s="56"/>
      <c r="E67" s="256" t="s">
        <v>64</v>
      </c>
      <c r="F67" s="256"/>
      <c r="G67" s="257" t="str">
        <f ca="1">IF($D$63="P",$L$16,"")</f>
        <v/>
      </c>
      <c r="H67" s="257"/>
      <c r="I67" s="257"/>
      <c r="J67" s="257"/>
      <c r="K67" s="257"/>
      <c r="L67" s="257"/>
      <c r="M67" s="257"/>
      <c r="N67" s="257"/>
      <c r="O67" s="257"/>
      <c r="P67" s="257"/>
      <c r="Q67" s="257"/>
      <c r="R67" s="257"/>
      <c r="S67" s="257"/>
      <c r="T67" s="257"/>
      <c r="U67" s="257"/>
      <c r="V67" s="257"/>
      <c r="W67" s="257"/>
      <c r="X67" s="257"/>
      <c r="Y67" s="257"/>
      <c r="Z67" s="257"/>
      <c r="AC67" s="80"/>
      <c r="AD67" s="54" t="s">
        <v>75</v>
      </c>
      <c r="AE67" s="385">
        <f ca="1">$L$23</f>
        <v>0</v>
      </c>
      <c r="AF67" s="385"/>
      <c r="AG67" s="385"/>
      <c r="AH67" s="385"/>
      <c r="AI67" s="385"/>
      <c r="AJ67" s="385"/>
      <c r="AK67" s="385"/>
      <c r="AL67" s="385"/>
      <c r="AM67" s="385"/>
      <c r="AN67" s="385"/>
      <c r="AO67" s="385"/>
      <c r="AP67" s="385"/>
      <c r="AQ67" s="385"/>
      <c r="AR67" s="385"/>
      <c r="AS67" s="385"/>
      <c r="AT67" s="57"/>
    </row>
    <row r="68" spans="3:46" ht="4.9000000000000004" customHeight="1">
      <c r="C68" s="56"/>
      <c r="S68" s="54"/>
      <c r="AC68" s="80"/>
      <c r="AD68" s="54"/>
      <c r="AE68" s="99"/>
      <c r="AF68" s="99"/>
      <c r="AG68" s="99"/>
      <c r="AH68" s="99"/>
      <c r="AI68" s="99"/>
      <c r="AJ68" s="99"/>
      <c r="AK68" s="99"/>
      <c r="AL68" s="99"/>
      <c r="AM68" s="99"/>
      <c r="AN68" s="99"/>
      <c r="AO68" s="99"/>
      <c r="AP68" s="99"/>
      <c r="AQ68" s="99"/>
      <c r="AR68" s="99"/>
      <c r="AS68" s="99"/>
      <c r="AT68" s="57"/>
    </row>
    <row r="69" spans="3:46" ht="19.899999999999999" customHeight="1">
      <c r="C69" s="56"/>
      <c r="D69" s="208" t="str">
        <f t="array" aca="1" ref="D69" ca="1">IF($L$19="ไม่มีจุดเสี่ยงต่อการปนเปื้อน","P","")</f>
        <v/>
      </c>
      <c r="E69" s="54" t="s">
        <v>35</v>
      </c>
      <c r="AC69" s="80"/>
      <c r="AD69" s="54" t="s">
        <v>76</v>
      </c>
      <c r="AE69" s="314"/>
      <c r="AF69" s="314"/>
      <c r="AG69" s="314"/>
      <c r="AH69" s="314"/>
      <c r="AI69" s="314"/>
      <c r="AJ69" s="314"/>
      <c r="AK69" s="314"/>
      <c r="AL69" s="314"/>
      <c r="AM69" s="314"/>
      <c r="AN69" s="314"/>
      <c r="AO69" s="314"/>
      <c r="AP69" s="314"/>
      <c r="AQ69" s="314"/>
      <c r="AR69" s="314"/>
      <c r="AS69" s="314"/>
      <c r="AT69" s="57"/>
    </row>
    <row r="70" spans="3:46" ht="4.9000000000000004" customHeight="1">
      <c r="C70" s="56"/>
      <c r="AC70" s="80"/>
      <c r="AD70" s="54"/>
      <c r="AE70" s="99"/>
      <c r="AF70" s="99"/>
      <c r="AG70" s="99"/>
      <c r="AH70" s="99"/>
      <c r="AI70" s="99"/>
      <c r="AJ70" s="99"/>
      <c r="AK70" s="99"/>
      <c r="AL70" s="99"/>
      <c r="AM70" s="99"/>
      <c r="AN70" s="99"/>
      <c r="AO70" s="99"/>
      <c r="AP70" s="99"/>
      <c r="AQ70" s="99"/>
      <c r="AR70" s="99"/>
      <c r="AS70" s="99"/>
      <c r="AT70" s="57"/>
    </row>
    <row r="71" spans="3:46" ht="19.899999999999999" customHeight="1">
      <c r="C71" s="56"/>
      <c r="D71" s="208" t="str">
        <f t="array" aca="1" ref="D71" ca="1">IF($L$19="มีจุดเสี่ยงต่อการปนเปื้อน","P","")</f>
        <v/>
      </c>
      <c r="E71" s="54" t="s">
        <v>36</v>
      </c>
      <c r="AC71" s="80"/>
      <c r="AD71" s="54" t="s">
        <v>77</v>
      </c>
      <c r="AE71" s="314"/>
      <c r="AF71" s="314"/>
      <c r="AG71" s="314"/>
      <c r="AH71" s="314"/>
      <c r="AI71" s="314"/>
      <c r="AJ71" s="314"/>
      <c r="AK71" s="314"/>
      <c r="AL71" s="314"/>
      <c r="AM71" s="314"/>
      <c r="AN71" s="314"/>
      <c r="AO71" s="314"/>
      <c r="AP71" s="314"/>
      <c r="AQ71" s="314"/>
      <c r="AR71" s="314"/>
      <c r="AS71" s="314"/>
      <c r="AT71" s="57"/>
    </row>
    <row r="72" spans="3:46" ht="4.9000000000000004" customHeight="1">
      <c r="C72" s="56"/>
      <c r="AC72" s="80"/>
      <c r="AD72" s="54"/>
      <c r="AE72" s="99"/>
      <c r="AF72" s="99"/>
      <c r="AG72" s="99"/>
      <c r="AH72" s="99"/>
      <c r="AI72" s="99"/>
      <c r="AJ72" s="99"/>
      <c r="AK72" s="99"/>
      <c r="AL72" s="99"/>
      <c r="AM72" s="99"/>
      <c r="AN72" s="99"/>
      <c r="AO72" s="99"/>
      <c r="AP72" s="99"/>
      <c r="AQ72" s="99"/>
      <c r="AR72" s="99"/>
      <c r="AS72" s="99"/>
      <c r="AT72" s="57"/>
    </row>
    <row r="73" spans="3:46" ht="19.899999999999999" customHeight="1">
      <c r="C73" s="56"/>
      <c r="E73" s="94" t="s">
        <v>65</v>
      </c>
      <c r="V73" s="73"/>
      <c r="W73" s="73"/>
      <c r="X73" s="73"/>
      <c r="Y73" s="73"/>
      <c r="Z73" s="73"/>
      <c r="AA73" s="73"/>
      <c r="AB73" s="73"/>
      <c r="AC73" s="97"/>
      <c r="AD73" s="54" t="s">
        <v>78</v>
      </c>
      <c r="AE73" s="314"/>
      <c r="AF73" s="314"/>
      <c r="AG73" s="314"/>
      <c r="AH73" s="314"/>
      <c r="AI73" s="314"/>
      <c r="AJ73" s="314"/>
      <c r="AK73" s="314"/>
      <c r="AL73" s="314"/>
      <c r="AM73" s="314"/>
      <c r="AN73" s="314"/>
      <c r="AO73" s="314"/>
      <c r="AP73" s="314"/>
      <c r="AQ73" s="314"/>
      <c r="AR73" s="314"/>
      <c r="AS73" s="314"/>
      <c r="AT73" s="57"/>
    </row>
    <row r="74" spans="3:46" ht="4.9000000000000004" customHeight="1">
      <c r="C74" s="56"/>
      <c r="E74" s="94"/>
      <c r="V74" s="73"/>
      <c r="W74" s="73"/>
      <c r="X74" s="73"/>
      <c r="Y74" s="73"/>
      <c r="Z74" s="73"/>
      <c r="AA74" s="73"/>
      <c r="AB74" s="73"/>
      <c r="AC74" s="97"/>
      <c r="AD74" s="54"/>
      <c r="AE74" s="99"/>
      <c r="AF74" s="99"/>
      <c r="AG74" s="99"/>
      <c r="AH74" s="99"/>
      <c r="AI74" s="99"/>
      <c r="AJ74" s="99"/>
      <c r="AK74" s="99"/>
      <c r="AL74" s="99"/>
      <c r="AM74" s="99"/>
      <c r="AN74" s="99"/>
      <c r="AO74" s="99"/>
      <c r="AP74" s="99"/>
      <c r="AQ74" s="99"/>
      <c r="AR74" s="99"/>
      <c r="AS74" s="99"/>
      <c r="AT74" s="57"/>
    </row>
    <row r="75" spans="3:46" ht="19.899999999999999" customHeight="1">
      <c r="C75" s="56"/>
      <c r="E75" s="256" t="s">
        <v>64</v>
      </c>
      <c r="F75" s="256"/>
      <c r="G75" s="318" t="str">
        <f ca="1">IF($D$71="P",$L$20,"")</f>
        <v/>
      </c>
      <c r="H75" s="318"/>
      <c r="I75" s="318"/>
      <c r="J75" s="318"/>
      <c r="K75" s="318"/>
      <c r="L75" s="318"/>
      <c r="M75" s="318"/>
      <c r="N75" s="318"/>
      <c r="O75" s="318"/>
      <c r="P75" s="318"/>
      <c r="Q75" s="318"/>
      <c r="R75" s="318"/>
      <c r="S75" s="318"/>
      <c r="T75" s="318"/>
      <c r="U75" s="318"/>
      <c r="V75" s="318"/>
      <c r="W75" s="318"/>
      <c r="X75" s="318"/>
      <c r="Y75" s="318"/>
      <c r="Z75" s="318"/>
      <c r="AA75" s="98"/>
      <c r="AC75" s="80"/>
      <c r="AD75" s="54" t="s">
        <v>79</v>
      </c>
      <c r="AE75" s="314"/>
      <c r="AF75" s="314"/>
      <c r="AG75" s="314"/>
      <c r="AH75" s="314"/>
      <c r="AI75" s="314"/>
      <c r="AJ75" s="314"/>
      <c r="AK75" s="314"/>
      <c r="AL75" s="314"/>
      <c r="AM75" s="314"/>
      <c r="AN75" s="314"/>
      <c r="AO75" s="314"/>
      <c r="AP75" s="314"/>
      <c r="AQ75" s="314"/>
      <c r="AR75" s="314"/>
      <c r="AS75" s="314"/>
      <c r="AT75" s="57"/>
    </row>
    <row r="76" spans="3:46" ht="4.9000000000000004" customHeight="1">
      <c r="C76" s="56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  <c r="AM76" s="54"/>
      <c r="AN76" s="54"/>
      <c r="AO76" s="54"/>
      <c r="AP76" s="54"/>
      <c r="AQ76" s="54"/>
      <c r="AR76" s="54"/>
      <c r="AS76" s="54"/>
      <c r="AT76" s="57"/>
    </row>
    <row r="77" spans="3:46" ht="19.899999999999999" customHeight="1">
      <c r="C77" s="56"/>
      <c r="D77" s="72" t="s">
        <v>67</v>
      </c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  <c r="AQ77" s="54"/>
      <c r="AR77" s="54"/>
      <c r="AS77" s="54"/>
      <c r="AT77" s="57"/>
    </row>
    <row r="78" spans="3:46" s="61" customFormat="1" ht="25.5">
      <c r="C78" s="62"/>
      <c r="D78" s="316" t="str">
        <f ca="1">"      "&amp;$L$14</f>
        <v xml:space="preserve">      0</v>
      </c>
      <c r="E78" s="316"/>
      <c r="F78" s="316"/>
      <c r="G78" s="316"/>
      <c r="H78" s="316"/>
      <c r="I78" s="316"/>
      <c r="J78" s="316"/>
      <c r="K78" s="316"/>
      <c r="L78" s="316"/>
      <c r="M78" s="316"/>
      <c r="N78" s="316"/>
      <c r="O78" s="316"/>
      <c r="P78" s="316"/>
      <c r="Q78" s="316"/>
      <c r="R78" s="316"/>
      <c r="S78" s="316"/>
      <c r="T78" s="316"/>
      <c r="U78" s="316"/>
      <c r="V78" s="316"/>
      <c r="W78" s="316"/>
      <c r="X78" s="316"/>
      <c r="Y78" s="316"/>
      <c r="Z78" s="316"/>
      <c r="AA78" s="316"/>
      <c r="AB78" s="316"/>
      <c r="AC78" s="316"/>
      <c r="AD78" s="316"/>
      <c r="AE78" s="316"/>
      <c r="AF78" s="316"/>
      <c r="AG78" s="316"/>
      <c r="AH78" s="316"/>
      <c r="AI78" s="316"/>
      <c r="AJ78" s="316"/>
      <c r="AK78" s="316"/>
      <c r="AL78" s="316"/>
      <c r="AM78" s="316"/>
      <c r="AN78" s="316"/>
      <c r="AO78" s="316"/>
      <c r="AP78" s="316"/>
      <c r="AQ78" s="316"/>
      <c r="AR78" s="316"/>
      <c r="AS78" s="316"/>
      <c r="AT78" s="63"/>
    </row>
    <row r="79" spans="3:46" s="54" customFormat="1" ht="24" customHeight="1">
      <c r="C79" s="58"/>
      <c r="D79" s="138"/>
      <c r="E79" s="138"/>
      <c r="F79" s="138"/>
      <c r="G79" s="138"/>
      <c r="H79" s="138"/>
      <c r="I79" s="138"/>
      <c r="J79" s="138"/>
      <c r="K79" s="138"/>
      <c r="L79" s="138"/>
      <c r="M79" s="138"/>
      <c r="N79" s="138"/>
      <c r="O79" s="138"/>
      <c r="P79" s="138"/>
      <c r="Q79" s="138"/>
      <c r="R79" s="138"/>
      <c r="S79" s="138"/>
      <c r="T79" s="138"/>
      <c r="U79" s="138"/>
      <c r="V79" s="138"/>
      <c r="W79" s="138"/>
      <c r="X79" s="138"/>
      <c r="Y79" s="138"/>
      <c r="Z79" s="138"/>
      <c r="AA79" s="138"/>
      <c r="AB79" s="138"/>
      <c r="AC79" s="138"/>
      <c r="AD79" s="138"/>
      <c r="AE79" s="138"/>
      <c r="AF79" s="138"/>
      <c r="AG79" s="138"/>
      <c r="AH79" s="138"/>
      <c r="AI79" s="138"/>
      <c r="AJ79" s="138"/>
      <c r="AK79" s="138"/>
      <c r="AL79" s="138"/>
      <c r="AM79" s="138"/>
      <c r="AN79" s="138"/>
      <c r="AO79" s="138"/>
      <c r="AP79" s="138"/>
      <c r="AQ79" s="138"/>
      <c r="AR79" s="138"/>
      <c r="AS79" s="138"/>
      <c r="AT79" s="59"/>
    </row>
    <row r="80" spans="3:46" s="54" customFormat="1" ht="24" customHeight="1">
      <c r="C80" s="58"/>
      <c r="D80" s="317"/>
      <c r="E80" s="317"/>
      <c r="F80" s="317"/>
      <c r="G80" s="317"/>
      <c r="H80" s="317"/>
      <c r="I80" s="317"/>
      <c r="J80" s="317"/>
      <c r="K80" s="317"/>
      <c r="L80" s="317"/>
      <c r="M80" s="317"/>
      <c r="N80" s="317"/>
      <c r="O80" s="317"/>
      <c r="P80" s="317"/>
      <c r="Q80" s="317"/>
      <c r="R80" s="317"/>
      <c r="S80" s="317"/>
      <c r="T80" s="317"/>
      <c r="U80" s="317"/>
      <c r="V80" s="317"/>
      <c r="W80" s="317"/>
      <c r="X80" s="317"/>
      <c r="Y80" s="317"/>
      <c r="Z80" s="317"/>
      <c r="AA80" s="317"/>
      <c r="AB80" s="317"/>
      <c r="AC80" s="317"/>
      <c r="AD80" s="317"/>
      <c r="AE80" s="317"/>
      <c r="AF80" s="317"/>
      <c r="AG80" s="317"/>
      <c r="AH80" s="317"/>
      <c r="AI80" s="317"/>
      <c r="AJ80" s="317"/>
      <c r="AK80" s="317"/>
      <c r="AL80" s="317"/>
      <c r="AM80" s="317"/>
      <c r="AN80" s="317"/>
      <c r="AO80" s="317"/>
      <c r="AP80" s="317"/>
      <c r="AQ80" s="317"/>
      <c r="AR80" s="317"/>
      <c r="AS80" s="317"/>
      <c r="AT80" s="59"/>
    </row>
    <row r="81" spans="3:46" s="54" customFormat="1" ht="15" customHeight="1">
      <c r="C81" s="58"/>
      <c r="AT81" s="59"/>
    </row>
    <row r="82" spans="3:46" s="61" customFormat="1" ht="25.15" customHeight="1">
      <c r="C82" s="62"/>
      <c r="D82" s="267" t="s">
        <v>83</v>
      </c>
      <c r="E82" s="267"/>
      <c r="F82" s="267"/>
      <c r="G82" s="315"/>
      <c r="H82" s="315"/>
      <c r="I82" s="315"/>
      <c r="J82" s="315"/>
      <c r="K82" s="315"/>
      <c r="L82" s="315"/>
      <c r="M82" s="315"/>
      <c r="N82" s="315"/>
      <c r="O82" s="315"/>
      <c r="P82" s="315"/>
      <c r="Q82" s="315"/>
      <c r="R82" s="268" t="s">
        <v>82</v>
      </c>
      <c r="S82" s="268"/>
      <c r="T82" s="268"/>
      <c r="U82" s="268"/>
      <c r="Y82" s="267" t="s">
        <v>84</v>
      </c>
      <c r="Z82" s="267"/>
      <c r="AA82" s="267"/>
      <c r="AB82" s="315"/>
      <c r="AC82" s="315"/>
      <c r="AD82" s="315"/>
      <c r="AE82" s="315"/>
      <c r="AF82" s="315"/>
      <c r="AG82" s="315"/>
      <c r="AH82" s="315"/>
      <c r="AI82" s="315"/>
      <c r="AJ82" s="315"/>
      <c r="AK82" s="315"/>
      <c r="AL82" s="315"/>
      <c r="AM82" s="268" t="s">
        <v>81</v>
      </c>
      <c r="AN82" s="268"/>
      <c r="AO82" s="268"/>
      <c r="AP82" s="268"/>
      <c r="AQ82" s="268"/>
      <c r="AR82" s="268"/>
      <c r="AS82" s="268"/>
      <c r="AT82" s="63"/>
    </row>
    <row r="83" spans="3:46" s="54" customFormat="1" ht="10.15" customHeight="1">
      <c r="C83" s="58"/>
      <c r="AT83" s="59"/>
    </row>
    <row r="84" spans="3:46" s="54" customFormat="1" ht="25.15" customHeight="1">
      <c r="C84" s="58"/>
      <c r="D84" s="338" t="s">
        <v>260</v>
      </c>
      <c r="E84" s="339"/>
      <c r="F84" s="339"/>
      <c r="G84" s="339"/>
      <c r="H84" s="339"/>
      <c r="I84" s="339"/>
      <c r="J84" s="339"/>
      <c r="K84" s="339"/>
      <c r="L84" s="339"/>
      <c r="M84" s="339"/>
      <c r="N84" s="339"/>
      <c r="O84" s="339"/>
      <c r="P84" s="339"/>
      <c r="Q84" s="339"/>
      <c r="R84" s="339"/>
      <c r="S84" s="339"/>
      <c r="T84" s="339"/>
      <c r="U84" s="339"/>
      <c r="V84" s="339"/>
      <c r="W84" s="339"/>
      <c r="X84" s="339"/>
      <c r="Y84" s="339"/>
      <c r="Z84" s="339"/>
      <c r="AA84" s="339"/>
      <c r="AB84" s="339"/>
      <c r="AC84" s="339"/>
      <c r="AD84" s="339"/>
      <c r="AE84" s="339"/>
      <c r="AF84" s="339"/>
      <c r="AG84" s="339"/>
      <c r="AH84" s="339"/>
      <c r="AI84" s="339"/>
      <c r="AJ84" s="339"/>
      <c r="AK84" s="339"/>
      <c r="AL84" s="339"/>
      <c r="AM84" s="339"/>
      <c r="AN84" s="339"/>
      <c r="AO84" s="339"/>
      <c r="AP84" s="339"/>
      <c r="AQ84" s="339"/>
      <c r="AR84" s="339"/>
      <c r="AS84" s="340"/>
      <c r="AT84" s="59"/>
    </row>
    <row r="85" spans="3:46" s="60" customFormat="1" ht="18" customHeight="1">
      <c r="C85" s="86"/>
      <c r="D85" s="265" t="s">
        <v>49</v>
      </c>
      <c r="E85" s="266"/>
      <c r="F85" s="265" t="s">
        <v>259</v>
      </c>
      <c r="G85" s="266"/>
      <c r="H85" s="266"/>
      <c r="I85" s="266"/>
      <c r="J85" s="266"/>
      <c r="K85" s="266"/>
      <c r="L85" s="266"/>
      <c r="M85" s="266"/>
      <c r="N85" s="266"/>
      <c r="O85" s="266"/>
      <c r="P85" s="266"/>
      <c r="Q85" s="266"/>
      <c r="R85" s="266"/>
      <c r="S85" s="266"/>
      <c r="T85" s="266"/>
      <c r="U85" s="266"/>
      <c r="V85" s="266"/>
      <c r="W85" s="266"/>
      <c r="X85" s="266"/>
      <c r="Y85" s="266"/>
      <c r="Z85" s="266"/>
      <c r="AA85" s="266"/>
      <c r="AB85" s="266"/>
      <c r="AC85" s="319"/>
      <c r="AD85" s="265" t="s">
        <v>46</v>
      </c>
      <c r="AE85" s="266"/>
      <c r="AF85" s="266"/>
      <c r="AG85" s="319"/>
      <c r="AH85" s="265" t="s">
        <v>7</v>
      </c>
      <c r="AI85" s="266"/>
      <c r="AJ85" s="266"/>
      <c r="AK85" s="266"/>
      <c r="AL85" s="266"/>
      <c r="AM85" s="266"/>
      <c r="AN85" s="266"/>
      <c r="AO85" s="266"/>
      <c r="AP85" s="266"/>
      <c r="AQ85" s="266"/>
      <c r="AR85" s="266"/>
      <c r="AS85" s="319"/>
      <c r="AT85" s="87"/>
    </row>
    <row r="86" spans="3:46" s="54" customFormat="1" ht="18" customHeight="1">
      <c r="C86" s="58"/>
      <c r="D86" s="272" t="s">
        <v>50</v>
      </c>
      <c r="E86" s="273"/>
      <c r="F86" s="272" t="s">
        <v>258</v>
      </c>
      <c r="G86" s="273"/>
      <c r="H86" s="273"/>
      <c r="I86" s="273"/>
      <c r="J86" s="273"/>
      <c r="K86" s="273"/>
      <c r="L86" s="273"/>
      <c r="M86" s="273"/>
      <c r="N86" s="273"/>
      <c r="O86" s="273"/>
      <c r="P86" s="273"/>
      <c r="Q86" s="273"/>
      <c r="R86" s="273"/>
      <c r="S86" s="273"/>
      <c r="T86" s="273"/>
      <c r="U86" s="273"/>
      <c r="V86" s="273"/>
      <c r="W86" s="273"/>
      <c r="X86" s="273"/>
      <c r="Y86" s="273"/>
      <c r="Z86" s="273"/>
      <c r="AA86" s="273"/>
      <c r="AB86" s="273"/>
      <c r="AC86" s="274"/>
      <c r="AD86" s="272" t="s">
        <v>47</v>
      </c>
      <c r="AE86" s="273"/>
      <c r="AF86" s="273"/>
      <c r="AG86" s="274"/>
      <c r="AH86" s="272" t="s">
        <v>48</v>
      </c>
      <c r="AI86" s="273"/>
      <c r="AJ86" s="273"/>
      <c r="AK86" s="273"/>
      <c r="AL86" s="273"/>
      <c r="AM86" s="273"/>
      <c r="AN86" s="273"/>
      <c r="AO86" s="273"/>
      <c r="AP86" s="273"/>
      <c r="AQ86" s="273"/>
      <c r="AR86" s="273"/>
      <c r="AS86" s="274"/>
      <c r="AT86" s="59"/>
    </row>
    <row r="87" spans="3:46" s="61" customFormat="1" ht="24" customHeight="1">
      <c r="C87" s="62"/>
      <c r="D87" s="305" t="str">
        <f ca="1">IF(F87="-","",IF(F87=0,"",1))</f>
        <v/>
      </c>
      <c r="E87" s="307"/>
      <c r="F87" s="311">
        <f ca="1">$L$17</f>
        <v>0</v>
      </c>
      <c r="G87" s="312"/>
      <c r="H87" s="312"/>
      <c r="I87" s="312"/>
      <c r="J87" s="312"/>
      <c r="K87" s="312"/>
      <c r="L87" s="312"/>
      <c r="M87" s="312"/>
      <c r="N87" s="312"/>
      <c r="O87" s="312"/>
      <c r="P87" s="312"/>
      <c r="Q87" s="312"/>
      <c r="R87" s="312"/>
      <c r="S87" s="312"/>
      <c r="T87" s="312"/>
      <c r="U87" s="312"/>
      <c r="V87" s="312"/>
      <c r="W87" s="312"/>
      <c r="X87" s="312"/>
      <c r="Y87" s="312"/>
      <c r="Z87" s="312"/>
      <c r="AA87" s="312"/>
      <c r="AB87" s="312"/>
      <c r="AC87" s="313"/>
      <c r="AD87" s="305">
        <f ca="1">$L$18</f>
        <v>0</v>
      </c>
      <c r="AE87" s="306"/>
      <c r="AF87" s="306"/>
      <c r="AG87" s="307"/>
      <c r="AH87" s="311"/>
      <c r="AI87" s="312"/>
      <c r="AJ87" s="312"/>
      <c r="AK87" s="312"/>
      <c r="AL87" s="312"/>
      <c r="AM87" s="312"/>
      <c r="AN87" s="312"/>
      <c r="AO87" s="312"/>
      <c r="AP87" s="312"/>
      <c r="AQ87" s="312"/>
      <c r="AR87" s="312"/>
      <c r="AS87" s="313"/>
      <c r="AT87" s="63"/>
    </row>
    <row r="88" spans="3:46" s="54" customFormat="1" ht="24" customHeight="1">
      <c r="C88" s="58"/>
      <c r="D88" s="308"/>
      <c r="E88" s="310"/>
      <c r="F88" s="308"/>
      <c r="G88" s="309"/>
      <c r="H88" s="309"/>
      <c r="I88" s="309"/>
      <c r="J88" s="309"/>
      <c r="K88" s="309"/>
      <c r="L88" s="309"/>
      <c r="M88" s="309"/>
      <c r="N88" s="309"/>
      <c r="O88" s="309"/>
      <c r="P88" s="309"/>
      <c r="Q88" s="309"/>
      <c r="R88" s="309"/>
      <c r="S88" s="309"/>
      <c r="T88" s="309"/>
      <c r="U88" s="309"/>
      <c r="V88" s="309"/>
      <c r="W88" s="309"/>
      <c r="X88" s="309"/>
      <c r="Y88" s="309"/>
      <c r="Z88" s="309"/>
      <c r="AA88" s="309"/>
      <c r="AB88" s="309"/>
      <c r="AC88" s="310"/>
      <c r="AD88" s="308"/>
      <c r="AE88" s="309"/>
      <c r="AF88" s="309"/>
      <c r="AG88" s="310"/>
      <c r="AH88" s="323"/>
      <c r="AI88" s="324"/>
      <c r="AJ88" s="324"/>
      <c r="AK88" s="324"/>
      <c r="AL88" s="324"/>
      <c r="AM88" s="324"/>
      <c r="AN88" s="324"/>
      <c r="AO88" s="324"/>
      <c r="AP88" s="324"/>
      <c r="AQ88" s="324"/>
      <c r="AR88" s="324"/>
      <c r="AS88" s="325"/>
      <c r="AT88" s="59"/>
    </row>
    <row r="89" spans="3:46" s="54" customFormat="1" ht="24" customHeight="1">
      <c r="C89" s="58"/>
      <c r="D89" s="200"/>
      <c r="E89" s="202"/>
      <c r="F89" s="200"/>
      <c r="G89" s="201"/>
      <c r="H89" s="201"/>
      <c r="I89" s="201"/>
      <c r="J89" s="201"/>
      <c r="K89" s="201"/>
      <c r="L89" s="201"/>
      <c r="M89" s="201"/>
      <c r="N89" s="201"/>
      <c r="O89" s="201"/>
      <c r="P89" s="201"/>
      <c r="Q89" s="201"/>
      <c r="R89" s="201"/>
      <c r="S89" s="201"/>
      <c r="T89" s="201"/>
      <c r="U89" s="201"/>
      <c r="V89" s="201"/>
      <c r="W89" s="201"/>
      <c r="X89" s="201"/>
      <c r="Y89" s="201"/>
      <c r="Z89" s="201"/>
      <c r="AA89" s="201"/>
      <c r="AB89" s="201"/>
      <c r="AC89" s="202"/>
      <c r="AD89" s="200"/>
      <c r="AE89" s="201"/>
      <c r="AF89" s="201"/>
      <c r="AG89" s="202"/>
      <c r="AH89" s="203"/>
      <c r="AI89" s="204"/>
      <c r="AJ89" s="204"/>
      <c r="AK89" s="204"/>
      <c r="AL89" s="204"/>
      <c r="AM89" s="204"/>
      <c r="AN89" s="204"/>
      <c r="AO89" s="204"/>
      <c r="AP89" s="204"/>
      <c r="AQ89" s="204"/>
      <c r="AR89" s="204"/>
      <c r="AS89" s="205"/>
      <c r="AT89" s="59"/>
    </row>
    <row r="90" spans="3:46" s="54" customFormat="1" ht="24" customHeight="1">
      <c r="C90" s="58"/>
      <c r="D90" s="308"/>
      <c r="E90" s="310"/>
      <c r="F90" s="308"/>
      <c r="G90" s="309"/>
      <c r="H90" s="309"/>
      <c r="I90" s="309"/>
      <c r="J90" s="309"/>
      <c r="K90" s="309"/>
      <c r="L90" s="309"/>
      <c r="M90" s="309"/>
      <c r="N90" s="309"/>
      <c r="O90" s="309"/>
      <c r="P90" s="309"/>
      <c r="Q90" s="309"/>
      <c r="R90" s="309"/>
      <c r="S90" s="309"/>
      <c r="T90" s="309"/>
      <c r="U90" s="309"/>
      <c r="V90" s="309"/>
      <c r="W90" s="309"/>
      <c r="X90" s="309"/>
      <c r="Y90" s="309"/>
      <c r="Z90" s="309"/>
      <c r="AA90" s="309"/>
      <c r="AB90" s="309"/>
      <c r="AC90" s="310"/>
      <c r="AD90" s="308"/>
      <c r="AE90" s="309"/>
      <c r="AF90" s="309"/>
      <c r="AG90" s="310"/>
      <c r="AH90" s="323"/>
      <c r="AI90" s="324"/>
      <c r="AJ90" s="324"/>
      <c r="AK90" s="324"/>
      <c r="AL90" s="324"/>
      <c r="AM90" s="324"/>
      <c r="AN90" s="324"/>
      <c r="AO90" s="324"/>
      <c r="AP90" s="324"/>
      <c r="AQ90" s="324"/>
      <c r="AR90" s="324"/>
      <c r="AS90" s="325"/>
      <c r="AT90" s="59"/>
    </row>
    <row r="91" spans="3:46" s="54" customFormat="1" ht="24" customHeight="1">
      <c r="C91" s="58"/>
      <c r="D91" s="270"/>
      <c r="E91" s="271"/>
      <c r="F91" s="270"/>
      <c r="G91" s="363"/>
      <c r="H91" s="363"/>
      <c r="I91" s="363"/>
      <c r="J91" s="363"/>
      <c r="K91" s="363"/>
      <c r="L91" s="363"/>
      <c r="M91" s="363"/>
      <c r="N91" s="363"/>
      <c r="O91" s="363"/>
      <c r="P91" s="363"/>
      <c r="Q91" s="363"/>
      <c r="R91" s="363"/>
      <c r="S91" s="363"/>
      <c r="T91" s="363"/>
      <c r="U91" s="363"/>
      <c r="V91" s="363"/>
      <c r="W91" s="363"/>
      <c r="X91" s="363"/>
      <c r="Y91" s="363"/>
      <c r="Z91" s="363"/>
      <c r="AA91" s="363"/>
      <c r="AB91" s="363"/>
      <c r="AC91" s="271"/>
      <c r="AD91" s="270"/>
      <c r="AE91" s="363"/>
      <c r="AF91" s="363"/>
      <c r="AG91" s="271"/>
      <c r="AH91" s="389"/>
      <c r="AI91" s="390"/>
      <c r="AJ91" s="390"/>
      <c r="AK91" s="390"/>
      <c r="AL91" s="390"/>
      <c r="AM91" s="390"/>
      <c r="AN91" s="390"/>
      <c r="AO91" s="390"/>
      <c r="AP91" s="390"/>
      <c r="AQ91" s="390"/>
      <c r="AR91" s="390"/>
      <c r="AS91" s="391"/>
      <c r="AT91" s="59"/>
    </row>
    <row r="92" spans="3:46" s="54" customFormat="1" ht="10.15" customHeight="1">
      <c r="C92" s="58"/>
      <c r="Y92" s="79"/>
      <c r="Z92" s="79"/>
      <c r="AA92" s="79"/>
      <c r="AB92" s="79"/>
      <c r="AC92" s="79"/>
      <c r="AD92" s="79"/>
      <c r="AE92" s="79"/>
      <c r="AF92" s="79"/>
      <c r="AG92" s="79"/>
      <c r="AH92" s="79"/>
      <c r="AI92" s="79"/>
      <c r="AJ92" s="79"/>
      <c r="AK92" s="79"/>
      <c r="AL92" s="79"/>
      <c r="AM92" s="79"/>
      <c r="AN92" s="79"/>
      <c r="AO92" s="79"/>
      <c r="AP92" s="79"/>
      <c r="AQ92" s="79"/>
      <c r="AR92" s="79"/>
      <c r="AS92" s="79"/>
      <c r="AT92" s="59"/>
    </row>
    <row r="93" spans="3:46" s="54" customFormat="1" ht="19.899999999999999" customHeight="1">
      <c r="C93" s="58"/>
      <c r="D93" s="72" t="s">
        <v>240</v>
      </c>
      <c r="Y93" s="378" t="s">
        <v>54</v>
      </c>
      <c r="Z93" s="379"/>
      <c r="AA93" s="379"/>
      <c r="AB93" s="379"/>
      <c r="AC93" s="379"/>
      <c r="AD93" s="379"/>
      <c r="AE93" s="379"/>
      <c r="AF93" s="379"/>
      <c r="AG93" s="379"/>
      <c r="AH93" s="379"/>
      <c r="AI93" s="379"/>
      <c r="AJ93" s="379"/>
      <c r="AK93" s="379"/>
      <c r="AL93" s="379"/>
      <c r="AM93" s="379"/>
      <c r="AN93" s="379"/>
      <c r="AO93" s="379"/>
      <c r="AP93" s="379"/>
      <c r="AQ93" s="379"/>
      <c r="AR93" s="379"/>
      <c r="AS93" s="380"/>
      <c r="AT93" s="59"/>
    </row>
    <row r="94" spans="3:46" ht="4.9000000000000004" customHeight="1">
      <c r="C94" s="56"/>
      <c r="S94" s="54"/>
      <c r="Y94" s="272"/>
      <c r="Z94" s="273"/>
      <c r="AA94" s="273"/>
      <c r="AB94" s="273"/>
      <c r="AC94" s="273"/>
      <c r="AD94" s="273"/>
      <c r="AE94" s="273"/>
      <c r="AF94" s="273"/>
      <c r="AG94" s="273"/>
      <c r="AH94" s="273"/>
      <c r="AI94" s="273"/>
      <c r="AJ94" s="273"/>
      <c r="AK94" s="273"/>
      <c r="AL94" s="273"/>
      <c r="AM94" s="273"/>
      <c r="AN94" s="273"/>
      <c r="AO94" s="273"/>
      <c r="AP94" s="273"/>
      <c r="AQ94" s="273"/>
      <c r="AR94" s="273"/>
      <c r="AS94" s="274"/>
      <c r="AT94" s="57"/>
    </row>
    <row r="95" spans="3:46" ht="19.899999999999999" customHeight="1">
      <c r="C95" s="56"/>
      <c r="D95" s="111"/>
      <c r="E95" s="54" t="s">
        <v>51</v>
      </c>
      <c r="S95" s="54"/>
      <c r="Y95" s="263" t="s">
        <v>61</v>
      </c>
      <c r="Z95" s="263"/>
      <c r="AA95" s="263"/>
      <c r="AB95" s="263"/>
      <c r="AC95" s="263"/>
      <c r="AD95" s="395" t="s">
        <v>55</v>
      </c>
      <c r="AE95" s="395"/>
      <c r="AF95" s="395"/>
      <c r="AG95" s="395"/>
      <c r="AH95" s="395"/>
      <c r="AI95" s="395"/>
      <c r="AJ95" s="395"/>
      <c r="AK95" s="395"/>
      <c r="AL95" s="265" t="s">
        <v>56</v>
      </c>
      <c r="AM95" s="266"/>
      <c r="AN95" s="266"/>
      <c r="AO95" s="266"/>
      <c r="AP95" s="266"/>
      <c r="AQ95" s="266"/>
      <c r="AR95" s="266"/>
      <c r="AS95" s="319"/>
      <c r="AT95" s="57"/>
    </row>
    <row r="96" spans="3:46" ht="19.899999999999999" customHeight="1">
      <c r="C96" s="56"/>
      <c r="D96" s="88"/>
      <c r="E96" s="54" t="s">
        <v>53</v>
      </c>
      <c r="S96" s="54"/>
      <c r="Y96" s="263"/>
      <c r="Z96" s="263"/>
      <c r="AA96" s="263"/>
      <c r="AB96" s="263"/>
      <c r="AC96" s="263"/>
      <c r="AD96" s="258" t="s">
        <v>58</v>
      </c>
      <c r="AE96" s="258"/>
      <c r="AF96" s="258"/>
      <c r="AG96" s="258"/>
      <c r="AH96" s="258"/>
      <c r="AI96" s="258"/>
      <c r="AJ96" s="258"/>
      <c r="AK96" s="258"/>
      <c r="AL96" s="392" t="s">
        <v>57</v>
      </c>
      <c r="AM96" s="393"/>
      <c r="AN96" s="393"/>
      <c r="AO96" s="393"/>
      <c r="AP96" s="393"/>
      <c r="AQ96" s="393"/>
      <c r="AR96" s="393"/>
      <c r="AS96" s="394"/>
      <c r="AT96" s="57"/>
    </row>
    <row r="97" spans="3:46" ht="19.899999999999999" customHeight="1">
      <c r="C97" s="56"/>
      <c r="D97" s="111"/>
      <c r="E97" s="54" t="s">
        <v>70</v>
      </c>
      <c r="Y97" s="263"/>
      <c r="Z97" s="263"/>
      <c r="AA97" s="263"/>
      <c r="AB97" s="263"/>
      <c r="AC97" s="263"/>
      <c r="AD97" s="269" t="s">
        <v>60</v>
      </c>
      <c r="AE97" s="269"/>
      <c r="AF97" s="269" t="s">
        <v>59</v>
      </c>
      <c r="AG97" s="269"/>
      <c r="AH97" s="269" t="s">
        <v>7</v>
      </c>
      <c r="AI97" s="269"/>
      <c r="AJ97" s="269"/>
      <c r="AK97" s="269"/>
      <c r="AL97" s="269" t="s">
        <v>60</v>
      </c>
      <c r="AM97" s="269"/>
      <c r="AN97" s="269" t="s">
        <v>59</v>
      </c>
      <c r="AO97" s="269"/>
      <c r="AP97" s="352" t="s">
        <v>7</v>
      </c>
      <c r="AQ97" s="353"/>
      <c r="AR97" s="353"/>
      <c r="AS97" s="354"/>
      <c r="AT97" s="57"/>
    </row>
    <row r="98" spans="3:46" ht="4.9000000000000004" customHeight="1">
      <c r="C98" s="56"/>
      <c r="D98" s="96"/>
      <c r="E98" s="54"/>
      <c r="Y98" s="277"/>
      <c r="Z98" s="278"/>
      <c r="AA98" s="278"/>
      <c r="AB98" s="278"/>
      <c r="AC98" s="279"/>
      <c r="AD98" s="259"/>
      <c r="AE98" s="260"/>
      <c r="AF98" s="259"/>
      <c r="AG98" s="260"/>
      <c r="AH98" s="259"/>
      <c r="AI98" s="275"/>
      <c r="AJ98" s="275"/>
      <c r="AK98" s="260"/>
      <c r="AL98" s="259"/>
      <c r="AM98" s="260"/>
      <c r="AN98" s="259"/>
      <c r="AO98" s="260"/>
      <c r="AP98" s="259"/>
      <c r="AQ98" s="275"/>
      <c r="AR98" s="275"/>
      <c r="AS98" s="260"/>
      <c r="AT98" s="57"/>
    </row>
    <row r="99" spans="3:46" ht="19.899999999999999" customHeight="1">
      <c r="C99" s="56"/>
      <c r="D99" s="111"/>
      <c r="E99" s="54" t="s">
        <v>71</v>
      </c>
      <c r="Y99" s="280"/>
      <c r="Z99" s="281"/>
      <c r="AA99" s="281"/>
      <c r="AB99" s="281"/>
      <c r="AC99" s="282"/>
      <c r="AD99" s="261"/>
      <c r="AE99" s="262"/>
      <c r="AF99" s="261"/>
      <c r="AG99" s="262"/>
      <c r="AH99" s="261"/>
      <c r="AI99" s="276"/>
      <c r="AJ99" s="276"/>
      <c r="AK99" s="262"/>
      <c r="AL99" s="261"/>
      <c r="AM99" s="262"/>
      <c r="AN99" s="261"/>
      <c r="AO99" s="262"/>
      <c r="AP99" s="261"/>
      <c r="AQ99" s="276"/>
      <c r="AR99" s="276"/>
      <c r="AS99" s="262"/>
      <c r="AT99" s="57"/>
    </row>
    <row r="100" spans="3:46" ht="19.899999999999999" customHeight="1">
      <c r="C100" s="56"/>
      <c r="D100" s="88"/>
      <c r="E100" s="256" t="s">
        <v>64</v>
      </c>
      <c r="F100" s="256"/>
      <c r="G100" s="314"/>
      <c r="H100" s="314"/>
      <c r="I100" s="314"/>
      <c r="J100" s="314"/>
      <c r="K100" s="314"/>
      <c r="L100" s="314"/>
      <c r="M100" s="314"/>
      <c r="N100" s="314"/>
      <c r="O100" s="314"/>
      <c r="P100" s="314"/>
      <c r="Q100" s="314"/>
      <c r="R100" s="314"/>
      <c r="S100" s="314"/>
      <c r="T100" s="314"/>
      <c r="U100" s="314"/>
      <c r="V100" s="314"/>
      <c r="W100" s="314"/>
      <c r="Y100" s="264"/>
      <c r="Z100" s="264"/>
      <c r="AA100" s="264"/>
      <c r="AB100" s="264"/>
      <c r="AC100" s="264"/>
      <c r="AD100" s="264"/>
      <c r="AE100" s="264"/>
      <c r="AF100" s="264"/>
      <c r="AG100" s="264"/>
      <c r="AH100" s="264"/>
      <c r="AI100" s="264"/>
      <c r="AJ100" s="264"/>
      <c r="AK100" s="264"/>
      <c r="AL100" s="264"/>
      <c r="AM100" s="264"/>
      <c r="AN100" s="264"/>
      <c r="AO100" s="264"/>
      <c r="AP100" s="382"/>
      <c r="AQ100" s="383"/>
      <c r="AR100" s="383"/>
      <c r="AS100" s="384"/>
      <c r="AT100" s="57"/>
    </row>
    <row r="101" spans="3:46" ht="19.899999999999999" customHeight="1">
      <c r="C101" s="56"/>
      <c r="D101" s="112"/>
      <c r="E101" s="54" t="s">
        <v>52</v>
      </c>
      <c r="Y101" s="264"/>
      <c r="Z101" s="264"/>
      <c r="AA101" s="264"/>
      <c r="AB101" s="264"/>
      <c r="AC101" s="264"/>
      <c r="AD101" s="264"/>
      <c r="AE101" s="264"/>
      <c r="AF101" s="264"/>
      <c r="AG101" s="264"/>
      <c r="AH101" s="264"/>
      <c r="AI101" s="264"/>
      <c r="AJ101" s="264"/>
      <c r="AK101" s="264"/>
      <c r="AL101" s="264"/>
      <c r="AM101" s="264"/>
      <c r="AN101" s="264"/>
      <c r="AO101" s="264"/>
      <c r="AP101" s="382"/>
      <c r="AQ101" s="383"/>
      <c r="AR101" s="383"/>
      <c r="AS101" s="384"/>
      <c r="AT101" s="57"/>
    </row>
    <row r="102" spans="3:46" ht="19.899999999999999" customHeight="1">
      <c r="C102" s="56"/>
      <c r="E102" s="72" t="s">
        <v>68</v>
      </c>
      <c r="V102" s="73"/>
      <c r="W102" s="73"/>
      <c r="X102" s="73"/>
      <c r="Y102" s="264"/>
      <c r="Z102" s="264"/>
      <c r="AA102" s="264"/>
      <c r="AB102" s="264"/>
      <c r="AC102" s="264"/>
      <c r="AD102" s="264"/>
      <c r="AE102" s="264"/>
      <c r="AF102" s="264"/>
      <c r="AG102" s="264"/>
      <c r="AH102" s="264"/>
      <c r="AI102" s="264"/>
      <c r="AJ102" s="264"/>
      <c r="AK102" s="264"/>
      <c r="AL102" s="264"/>
      <c r="AM102" s="264"/>
      <c r="AN102" s="264"/>
      <c r="AO102" s="264"/>
      <c r="AP102" s="382"/>
      <c r="AQ102" s="383"/>
      <c r="AR102" s="383"/>
      <c r="AS102" s="384"/>
      <c r="AT102" s="57"/>
    </row>
    <row r="103" spans="3:46" s="54" customFormat="1" ht="19.899999999999999" customHeight="1">
      <c r="C103" s="58"/>
      <c r="E103" s="256" t="s">
        <v>64</v>
      </c>
      <c r="F103" s="256"/>
      <c r="G103" s="314"/>
      <c r="H103" s="314"/>
      <c r="I103" s="314"/>
      <c r="J103" s="314"/>
      <c r="K103" s="314"/>
      <c r="L103" s="314"/>
      <c r="M103" s="314"/>
      <c r="N103" s="314"/>
      <c r="O103" s="314"/>
      <c r="P103" s="314"/>
      <c r="Q103" s="314"/>
      <c r="R103" s="314"/>
      <c r="S103" s="314"/>
      <c r="T103" s="314"/>
      <c r="U103" s="314"/>
      <c r="V103" s="314"/>
      <c r="W103" s="314"/>
      <c r="Y103" s="381"/>
      <c r="Z103" s="381"/>
      <c r="AA103" s="381"/>
      <c r="AB103" s="381"/>
      <c r="AC103" s="381"/>
      <c r="AD103" s="381"/>
      <c r="AE103" s="381"/>
      <c r="AF103" s="381"/>
      <c r="AG103" s="381"/>
      <c r="AH103" s="381"/>
      <c r="AI103" s="381"/>
      <c r="AJ103" s="381"/>
      <c r="AK103" s="381"/>
      <c r="AL103" s="381"/>
      <c r="AM103" s="381"/>
      <c r="AN103" s="381"/>
      <c r="AO103" s="381"/>
      <c r="AP103" s="386"/>
      <c r="AQ103" s="387"/>
      <c r="AR103" s="387"/>
      <c r="AS103" s="388"/>
      <c r="AT103" s="59"/>
    </row>
    <row r="104" spans="3:46" s="54" customFormat="1" ht="10.15" customHeight="1">
      <c r="C104" s="58"/>
      <c r="AS104" s="95"/>
      <c r="AT104" s="59"/>
    </row>
    <row r="105" spans="3:46" s="54" customFormat="1" ht="25.15" customHeight="1">
      <c r="C105" s="58"/>
      <c r="D105" s="352" t="s">
        <v>94</v>
      </c>
      <c r="E105" s="353"/>
      <c r="F105" s="353"/>
      <c r="G105" s="353"/>
      <c r="H105" s="353"/>
      <c r="I105" s="353"/>
      <c r="J105" s="353"/>
      <c r="K105" s="353"/>
      <c r="L105" s="353"/>
      <c r="M105" s="353"/>
      <c r="N105" s="353"/>
      <c r="O105" s="353"/>
      <c r="P105" s="353"/>
      <c r="Q105" s="353"/>
      <c r="R105" s="353"/>
      <c r="S105" s="354"/>
      <c r="T105" s="352" t="s">
        <v>37</v>
      </c>
      <c r="U105" s="353"/>
      <c r="V105" s="353"/>
      <c r="W105" s="353"/>
      <c r="X105" s="353"/>
      <c r="Y105" s="353"/>
      <c r="Z105" s="353"/>
      <c r="AA105" s="353"/>
      <c r="AB105" s="353"/>
      <c r="AC105" s="353"/>
      <c r="AD105" s="353"/>
      <c r="AE105" s="353"/>
      <c r="AF105" s="353"/>
      <c r="AG105" s="353"/>
      <c r="AH105" s="353"/>
      <c r="AI105" s="354"/>
      <c r="AJ105" s="352" t="s">
        <v>96</v>
      </c>
      <c r="AK105" s="353"/>
      <c r="AL105" s="353"/>
      <c r="AM105" s="353"/>
      <c r="AN105" s="353"/>
      <c r="AO105" s="353"/>
      <c r="AP105" s="353"/>
      <c r="AQ105" s="353"/>
      <c r="AR105" s="353"/>
      <c r="AS105" s="354"/>
      <c r="AT105" s="59"/>
    </row>
    <row r="106" spans="3:46" s="54" customFormat="1" ht="4.9000000000000004" customHeight="1" thickBot="1">
      <c r="C106" s="58"/>
      <c r="D106" s="80"/>
      <c r="T106" s="80"/>
      <c r="AI106" s="81"/>
      <c r="AJ106" s="80"/>
      <c r="AS106" s="81"/>
      <c r="AT106" s="59"/>
    </row>
    <row r="107" spans="3:46" s="54" customFormat="1" ht="22.15" customHeight="1" thickTop="1" thickBot="1">
      <c r="C107" s="58"/>
      <c r="D107" s="373" t="s">
        <v>86</v>
      </c>
      <c r="E107" s="361"/>
      <c r="F107" s="361"/>
      <c r="G107" s="361"/>
      <c r="H107" s="362">
        <f ca="1">$L$24</f>
        <v>0</v>
      </c>
      <c r="I107" s="356"/>
      <c r="J107" s="356"/>
      <c r="K107" s="356"/>
      <c r="L107" s="361" t="s">
        <v>88</v>
      </c>
      <c r="M107" s="361"/>
      <c r="N107" s="355">
        <f ca="1">$L$25</f>
        <v>0</v>
      </c>
      <c r="O107" s="356"/>
      <c r="P107" s="356"/>
      <c r="Q107" s="356"/>
      <c r="R107" s="356"/>
      <c r="T107" s="80"/>
      <c r="U107" s="54" t="s">
        <v>38</v>
      </c>
      <c r="AI107" s="81"/>
      <c r="AJ107" s="80"/>
      <c r="AM107" s="84" t="s">
        <v>41</v>
      </c>
      <c r="AN107" s="359" t="s">
        <v>43</v>
      </c>
      <c r="AO107" s="360">
        <v>100</v>
      </c>
      <c r="AP107" s="360"/>
      <c r="AS107" s="81"/>
      <c r="AT107" s="59"/>
    </row>
    <row r="108" spans="3:46" s="54" customFormat="1" ht="22.15" customHeight="1" thickTop="1" thickBot="1">
      <c r="C108" s="58"/>
      <c r="D108" s="373" t="s">
        <v>87</v>
      </c>
      <c r="E108" s="361"/>
      <c r="F108" s="361"/>
      <c r="G108" s="361"/>
      <c r="H108" s="362">
        <f ca="1">$L$26</f>
        <v>0</v>
      </c>
      <c r="I108" s="356"/>
      <c r="J108" s="356"/>
      <c r="K108" s="356"/>
      <c r="L108" s="361" t="s">
        <v>88</v>
      </c>
      <c r="M108" s="361"/>
      <c r="N108" s="357">
        <f ca="1">$L$27</f>
        <v>0</v>
      </c>
      <c r="O108" s="358"/>
      <c r="P108" s="358"/>
      <c r="Q108" s="356"/>
      <c r="R108" s="356"/>
      <c r="T108" s="80"/>
      <c r="U108" s="54" t="s">
        <v>39</v>
      </c>
      <c r="AI108" s="81"/>
      <c r="AJ108" s="80"/>
      <c r="AM108" s="71" t="s">
        <v>42</v>
      </c>
      <c r="AN108" s="359"/>
      <c r="AO108" s="360"/>
      <c r="AP108" s="360"/>
      <c r="AS108" s="81"/>
      <c r="AT108" s="59"/>
    </row>
    <row r="109" spans="3:46" s="54" customFormat="1" ht="22.15" customHeight="1" thickTop="1" thickBot="1">
      <c r="C109" s="58"/>
      <c r="D109" s="373" t="s">
        <v>89</v>
      </c>
      <c r="E109" s="361"/>
      <c r="F109" s="361"/>
      <c r="G109" s="361"/>
      <c r="H109" s="361"/>
      <c r="I109" s="361"/>
      <c r="J109" s="361"/>
      <c r="K109" s="356">
        <f ca="1">ConvertMinute</f>
        <v>0</v>
      </c>
      <c r="L109" s="356"/>
      <c r="M109" s="356"/>
      <c r="N109" s="356"/>
      <c r="O109" s="356"/>
      <c r="P109" s="356"/>
      <c r="Q109" s="360" t="s">
        <v>95</v>
      </c>
      <c r="R109" s="360"/>
      <c r="S109" s="374"/>
      <c r="T109" s="80"/>
      <c r="U109" s="54" t="s">
        <v>40</v>
      </c>
      <c r="AI109" s="81"/>
      <c r="AJ109" s="80"/>
      <c r="AL109" s="85" t="s">
        <v>44</v>
      </c>
      <c r="AM109" s="377" t="str">
        <f ca="1">IF(K109=0,"",K109/1440)</f>
        <v/>
      </c>
      <c r="AN109" s="377"/>
      <c r="AO109" s="377"/>
      <c r="AP109" s="377"/>
      <c r="AQ109" s="71" t="s">
        <v>45</v>
      </c>
      <c r="AS109" s="81"/>
      <c r="AT109" s="59"/>
    </row>
    <row r="110" spans="3:46" s="54" customFormat="1" ht="4.9000000000000004" customHeight="1" thickTop="1">
      <c r="C110" s="58"/>
      <c r="D110" s="82"/>
      <c r="E110" s="74"/>
      <c r="F110" s="74"/>
      <c r="G110" s="74"/>
      <c r="H110" s="74"/>
      <c r="I110" s="74"/>
      <c r="J110" s="74"/>
      <c r="K110" s="74"/>
      <c r="L110" s="74"/>
      <c r="M110" s="74"/>
      <c r="N110" s="74"/>
      <c r="O110" s="74"/>
      <c r="P110" s="74"/>
      <c r="Q110" s="74"/>
      <c r="R110" s="74"/>
      <c r="S110" s="74"/>
      <c r="T110" s="82"/>
      <c r="U110" s="74"/>
      <c r="V110" s="74"/>
      <c r="W110" s="74"/>
      <c r="X110" s="74"/>
      <c r="Y110" s="74"/>
      <c r="Z110" s="74"/>
      <c r="AA110" s="74"/>
      <c r="AB110" s="74"/>
      <c r="AC110" s="74"/>
      <c r="AD110" s="74"/>
      <c r="AE110" s="74"/>
      <c r="AF110" s="74"/>
      <c r="AG110" s="74"/>
      <c r="AH110" s="74"/>
      <c r="AI110" s="83"/>
      <c r="AJ110" s="82"/>
      <c r="AK110" s="74"/>
      <c r="AL110" s="74"/>
      <c r="AM110" s="74"/>
      <c r="AN110" s="74"/>
      <c r="AO110" s="74"/>
      <c r="AP110" s="74"/>
      <c r="AQ110" s="74"/>
      <c r="AR110" s="74"/>
      <c r="AS110" s="83"/>
      <c r="AT110" s="59"/>
    </row>
    <row r="111" spans="3:46" s="54" customFormat="1" ht="4.9000000000000004" customHeight="1" thickBot="1">
      <c r="C111" s="58"/>
      <c r="D111" s="78"/>
      <c r="E111" s="79"/>
      <c r="F111" s="79"/>
      <c r="G111" s="79"/>
      <c r="H111" s="79"/>
      <c r="I111" s="79"/>
      <c r="J111" s="79"/>
      <c r="K111" s="79"/>
      <c r="L111" s="79"/>
      <c r="M111" s="79"/>
      <c r="N111" s="79"/>
      <c r="O111" s="79"/>
      <c r="P111" s="79"/>
      <c r="Q111" s="79"/>
      <c r="R111" s="79"/>
      <c r="S111" s="79"/>
      <c r="T111" s="364" t="s">
        <v>97</v>
      </c>
      <c r="U111" s="365"/>
      <c r="V111" s="365"/>
      <c r="W111" s="365"/>
      <c r="X111" s="365"/>
      <c r="Y111" s="365"/>
      <c r="Z111" s="365"/>
      <c r="AA111" s="365"/>
      <c r="AB111" s="365"/>
      <c r="AC111" s="365"/>
      <c r="AD111" s="365"/>
      <c r="AE111" s="365"/>
      <c r="AF111" s="365"/>
      <c r="AG111" s="365"/>
      <c r="AH111" s="365"/>
      <c r="AI111" s="365"/>
      <c r="AJ111" s="365"/>
      <c r="AK111" s="365"/>
      <c r="AL111" s="365"/>
      <c r="AM111" s="365"/>
      <c r="AN111" s="365"/>
      <c r="AO111" s="365"/>
      <c r="AP111" s="365"/>
      <c r="AQ111" s="365"/>
      <c r="AR111" s="365"/>
      <c r="AS111" s="366"/>
      <c r="AT111" s="59"/>
    </row>
    <row r="112" spans="3:46" s="54" customFormat="1" ht="25.15" customHeight="1" thickTop="1" thickBot="1">
      <c r="C112" s="58"/>
      <c r="D112" s="373" t="s">
        <v>90</v>
      </c>
      <c r="E112" s="361"/>
      <c r="F112" s="361"/>
      <c r="G112" s="375"/>
      <c r="H112" s="375"/>
      <c r="I112" s="375"/>
      <c r="J112" s="375"/>
      <c r="K112" s="375"/>
      <c r="L112" s="375"/>
      <c r="M112" s="375"/>
      <c r="N112" s="375"/>
      <c r="O112" s="375"/>
      <c r="P112" s="360" t="s">
        <v>92</v>
      </c>
      <c r="Q112" s="360"/>
      <c r="R112" s="360"/>
      <c r="S112" s="374"/>
      <c r="T112" s="367"/>
      <c r="U112" s="368"/>
      <c r="V112" s="368"/>
      <c r="W112" s="368"/>
      <c r="X112" s="368"/>
      <c r="Y112" s="368"/>
      <c r="Z112" s="368"/>
      <c r="AA112" s="368"/>
      <c r="AB112" s="368"/>
      <c r="AC112" s="368"/>
      <c r="AD112" s="368"/>
      <c r="AE112" s="368"/>
      <c r="AF112" s="368"/>
      <c r="AG112" s="368"/>
      <c r="AH112" s="368"/>
      <c r="AI112" s="368"/>
      <c r="AJ112" s="368"/>
      <c r="AK112" s="368"/>
      <c r="AL112" s="368"/>
      <c r="AM112" s="368"/>
      <c r="AN112" s="368"/>
      <c r="AO112" s="368"/>
      <c r="AP112" s="368"/>
      <c r="AQ112" s="368"/>
      <c r="AR112" s="368"/>
      <c r="AS112" s="369"/>
      <c r="AT112" s="59"/>
    </row>
    <row r="113" spans="3:46" s="54" customFormat="1" ht="25.15" customHeight="1" thickTop="1" thickBot="1">
      <c r="C113" s="58"/>
      <c r="D113" s="373" t="s">
        <v>91</v>
      </c>
      <c r="E113" s="361"/>
      <c r="F113" s="361"/>
      <c r="G113" s="376"/>
      <c r="H113" s="375"/>
      <c r="I113" s="375"/>
      <c r="J113" s="375"/>
      <c r="K113" s="375"/>
      <c r="L113" s="375"/>
      <c r="M113" s="375"/>
      <c r="N113" s="375"/>
      <c r="O113" s="375"/>
      <c r="T113" s="367"/>
      <c r="U113" s="368"/>
      <c r="V113" s="368"/>
      <c r="W113" s="368"/>
      <c r="X113" s="368"/>
      <c r="Y113" s="368"/>
      <c r="Z113" s="368"/>
      <c r="AA113" s="368"/>
      <c r="AB113" s="368"/>
      <c r="AC113" s="368"/>
      <c r="AD113" s="368"/>
      <c r="AE113" s="368"/>
      <c r="AF113" s="368"/>
      <c r="AG113" s="368"/>
      <c r="AH113" s="368"/>
      <c r="AI113" s="368"/>
      <c r="AJ113" s="368"/>
      <c r="AK113" s="368"/>
      <c r="AL113" s="368"/>
      <c r="AM113" s="368"/>
      <c r="AN113" s="368"/>
      <c r="AO113" s="368"/>
      <c r="AP113" s="368"/>
      <c r="AQ113" s="368"/>
      <c r="AR113" s="368"/>
      <c r="AS113" s="369"/>
      <c r="AT113" s="59"/>
    </row>
    <row r="114" spans="3:46" s="54" customFormat="1" ht="4.9000000000000004" customHeight="1" thickTop="1">
      <c r="C114" s="58"/>
      <c r="D114" s="82"/>
      <c r="E114" s="74"/>
      <c r="F114" s="74"/>
      <c r="G114" s="74"/>
      <c r="H114" s="74"/>
      <c r="I114" s="74"/>
      <c r="J114" s="74"/>
      <c r="K114" s="74"/>
      <c r="L114" s="74"/>
      <c r="M114" s="74"/>
      <c r="N114" s="74"/>
      <c r="O114" s="74"/>
      <c r="P114" s="74"/>
      <c r="Q114" s="74"/>
      <c r="R114" s="74"/>
      <c r="S114" s="74"/>
      <c r="T114" s="370"/>
      <c r="U114" s="371"/>
      <c r="V114" s="371"/>
      <c r="W114" s="371"/>
      <c r="X114" s="371"/>
      <c r="Y114" s="371"/>
      <c r="Z114" s="371"/>
      <c r="AA114" s="371"/>
      <c r="AB114" s="371"/>
      <c r="AC114" s="371"/>
      <c r="AD114" s="371"/>
      <c r="AE114" s="371"/>
      <c r="AF114" s="371"/>
      <c r="AG114" s="371"/>
      <c r="AH114" s="371"/>
      <c r="AI114" s="371"/>
      <c r="AJ114" s="371"/>
      <c r="AK114" s="371"/>
      <c r="AL114" s="371"/>
      <c r="AM114" s="371"/>
      <c r="AN114" s="371"/>
      <c r="AO114" s="371"/>
      <c r="AP114" s="371"/>
      <c r="AQ114" s="371"/>
      <c r="AR114" s="371"/>
      <c r="AS114" s="372"/>
      <c r="AT114" s="59"/>
    </row>
    <row r="115" spans="3:46" s="54" customFormat="1" ht="7.9" customHeight="1" thickBot="1">
      <c r="C115" s="75"/>
      <c r="D115" s="76"/>
      <c r="E115" s="76"/>
      <c r="F115" s="76"/>
      <c r="G115" s="76"/>
      <c r="H115" s="76"/>
      <c r="I115" s="76"/>
      <c r="J115" s="76"/>
      <c r="K115" s="76"/>
      <c r="L115" s="76"/>
      <c r="M115" s="76"/>
      <c r="N115" s="76"/>
      <c r="O115" s="76"/>
      <c r="P115" s="76"/>
      <c r="Q115" s="76"/>
      <c r="R115" s="76"/>
      <c r="S115" s="76"/>
      <c r="T115" s="76"/>
      <c r="U115" s="76"/>
      <c r="V115" s="76"/>
      <c r="W115" s="76"/>
      <c r="X115" s="76"/>
      <c r="Y115" s="76"/>
      <c r="Z115" s="76"/>
      <c r="AA115" s="76"/>
      <c r="AB115" s="76"/>
      <c r="AC115" s="76"/>
      <c r="AD115" s="76"/>
      <c r="AE115" s="76"/>
      <c r="AF115" s="76"/>
      <c r="AG115" s="76"/>
      <c r="AH115" s="76"/>
      <c r="AI115" s="76"/>
      <c r="AJ115" s="76"/>
      <c r="AK115" s="76"/>
      <c r="AL115" s="76"/>
      <c r="AM115" s="76"/>
      <c r="AN115" s="76"/>
      <c r="AO115" s="76"/>
      <c r="AP115" s="76"/>
      <c r="AQ115" s="76"/>
      <c r="AR115" s="76"/>
      <c r="AS115" s="76"/>
      <c r="AT115" s="77"/>
    </row>
    <row r="116" spans="3:46" ht="4.9000000000000004" customHeight="1"/>
    <row r="118" spans="3:46" ht="19.899999999999999" customHeight="1">
      <c r="D118" s="104" t="s">
        <v>129</v>
      </c>
      <c r="E118" s="105"/>
      <c r="F118" s="105"/>
      <c r="G118" s="105"/>
      <c r="H118" s="105"/>
      <c r="I118" s="105"/>
    </row>
    <row r="119" spans="3:46" ht="19.899999999999999" customHeight="1">
      <c r="D119" s="106" t="s">
        <v>130</v>
      </c>
      <c r="E119" s="105"/>
      <c r="F119" s="105"/>
      <c r="G119" s="105"/>
      <c r="H119" s="105"/>
      <c r="I119" s="107">
        <f ca="1">N108-N107</f>
        <v>0</v>
      </c>
    </row>
    <row r="120" spans="3:46" ht="19.899999999999999" customHeight="1">
      <c r="D120" s="108" t="s">
        <v>132</v>
      </c>
      <c r="E120" s="105"/>
      <c r="F120" s="105"/>
      <c r="G120" s="105"/>
      <c r="H120" s="105"/>
      <c r="I120" s="109">
        <f ca="1">HOUR(I119)</f>
        <v>0</v>
      </c>
    </row>
    <row r="121" spans="3:46" ht="19.899999999999999" customHeight="1">
      <c r="D121" s="108" t="s">
        <v>133</v>
      </c>
      <c r="E121" s="105"/>
      <c r="F121" s="105"/>
      <c r="G121" s="105"/>
      <c r="H121" s="105"/>
      <c r="I121" s="109">
        <f ca="1">MINUTE(I119)</f>
        <v>0</v>
      </c>
    </row>
    <row r="122" spans="3:46" ht="19.899999999999999" customHeight="1">
      <c r="D122" s="108" t="s">
        <v>131</v>
      </c>
      <c r="E122" s="105"/>
      <c r="F122" s="105"/>
      <c r="G122" s="105"/>
      <c r="H122" s="105"/>
      <c r="I122" s="110">
        <f ca="1">(I120*60)+I121</f>
        <v>0</v>
      </c>
    </row>
  </sheetData>
  <customSheetViews>
    <customSheetView guid="{725C6403-CA7F-4F2C-9A0D-0A8F381A2CAD}" scale="80" showPageBreaks="1" showGridLines="0" showRowCol="0" fitToPage="1" printArea="1" hiddenRows="1" view="pageBreakPreview" topLeftCell="A28">
      <selection activeCell="AY38" sqref="AY38"/>
      <pageMargins left="0.7" right="0.7" top="0.75" bottom="0.75" header="0.3" footer="0.3"/>
      <pageSetup paperSize="9" scale="56" orientation="portrait"/>
      <headerFooter>
        <oddFooter>&amp;R&amp;12F-EN-03 Rev.04  Effective Date:  24 May-21</oddFooter>
      </headerFooter>
    </customSheetView>
    <customSheetView guid="{78AF171D-678D-4785-AAA3-E13B4851B7AE}" scale="7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scale="53" orientation="portrait"/>
      <headerFooter>
        <oddFooter>&amp;R&amp;12F-EN-03 Rev.04  Effective Date:  24 May-21</oddFooter>
      </headerFooter>
    </customSheetView>
    <customSheetView guid="{A3E2F7B2-EDD4-496B-AB8C-6D4480FC978E}" scale="70" showPageBreaks="1" showGridLines="0" showRowCol="0" fitToPage="1" printArea="1" hiddenRows="1" view="pageBreakPreview" topLeftCell="A28">
      <pane ySplit="34" topLeftCell="A62" activePane="bottomLeft" state="frozenSplit"/>
      <selection pane="bottomLeft" activeCell="AB48" sqref="AB48"/>
      <pageMargins left="0.7" right="0.7" top="0.75" bottom="0.75" header="0.3" footer="0.3"/>
      <pageSetup paperSize="9" scale="57" orientation="portrait" verticalDpi="0"/>
      <headerFooter>
        <oddFooter>&amp;R&amp;12F-EN-03 Rev.04  Effective Date:  24 May-21</oddFooter>
      </headerFooter>
    </customSheetView>
    <customSheetView guid="{92E2A3D6-6865-4A95-8F02-7FDA997293A9}" scale="60" showPageBreaks="1" showGridLines="0" showRowCol="0" fitToPage="1" printArea="1" hiddenRows="1" view="pageBreakPreview" topLeftCell="A28">
      <selection activeCell="BC56" sqref="BC56"/>
      <pageMargins left="0.7" right="0.7" top="0.75" bottom="0.75" header="0.3" footer="0.3"/>
      <pageSetup paperSize="0" orientation="portrait" horizontalDpi="0" verticalDpi="0" copies="0"/>
      <headerFooter>
        <oddFooter>&amp;R&amp;12F-EN-03 Rev.04  Effective Date:  24 May-21</oddFooter>
      </headerFooter>
    </customSheetView>
    <customSheetView guid="{D2673080-F890-47E1-8D19-24DC44CD3D17}" scale="70" showPageBreaks="1" showGridLines="0" showRowCol="0" fitToPage="1" printArea="1" hiddenRows="1" view="pageBreakPreview" topLeftCell="A28">
      <selection activeCell="AW67" sqref="AW67"/>
      <pageMargins left="0.7" right="0.7" top="0.75" bottom="0.75" header="0.3" footer="0.3"/>
      <pageSetup paperSize="9" scale="57" orientation="portrait" verticalDpi="0"/>
      <headerFooter>
        <oddFooter>&amp;R&amp;12F-EN-03 Rev.04  Effective Date:  24 May-21</oddFooter>
      </headerFooter>
    </customSheetView>
    <customSheetView guid="{3C44DCB8-AE21-460C-BE83-16ED4ECEF164}" scale="6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paperSize="9" scale="54" orientation="portrait"/>
      <headerFooter>
        <oddFooter>&amp;R&amp;12F-EN-03 Rev.04  Effective Date:  24 May-21</oddFooter>
      </headerFooter>
    </customSheetView>
    <customSheetView guid="{C8668995-1005-4688-A6EB-A2F3AE31A309}" scale="70" showPageBreaks="1" showGridLines="0" showRowCol="0" fitToPage="1" printArea="1" hiddenRows="1" view="pageBreakPreview" topLeftCell="A28">
      <selection activeCell="D48" sqref="D48:AS48"/>
      <pageMargins left="0.7" right="0.7" top="0.75" bottom="0.75" header="0.3" footer="0.3"/>
      <pageSetup paperSize="9" scale="54" orientation="portrait"/>
      <headerFooter>
        <oddFooter>&amp;R&amp;12F-EN-03 Rev.04  Effective Date:  24 May-21</oddFooter>
      </headerFooter>
    </customSheetView>
    <customSheetView guid="{A67533C0-DC49-40DE-AEF5-5C17FB95027C}" scale="70" showPageBreaks="1" showGridLines="0" showRowCol="0" fitToPage="1" printArea="1" hiddenRows="1" view="pageBreakPreview" topLeftCell="A28">
      <selection activeCell="AY41" sqref="AY41"/>
      <pageMargins left="0.7" right="0.7" top="0.75" bottom="0.75" header="0.3" footer="0.3"/>
      <pageSetup paperSize="9" scale="56" orientation="portrait"/>
      <headerFooter>
        <oddFooter>&amp;R&amp;12F-EN-03 Rev.04  Effective Date:  24 May-21</oddFooter>
      </headerFooter>
    </customSheetView>
    <customSheetView guid="{6E45CC1C-F2B4-4E71-B4D9-E4A83D340A41}" scale="60" showPageBreaks="1" showGridLines="0" showRowCol="0" fitToPage="1" printArea="1" hiddenRows="1" view="pageBreakPreview" topLeftCell="A28">
      <selection activeCell="D48" sqref="D48:AS48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5FEB8780-83A5-46AA-A5CB-9F9A479E52D7}" scale="60" showPageBreaks="1" showGridLines="0" showRowCol="0" fitToPage="1" printArea="1" hiddenRows="1" view="pageBreakPreview" topLeftCell="A28">
      <selection activeCell="D48" sqref="D48:AS48"/>
      <pageMargins left="0.7" right="0.7" top="0.75" bottom="0.75" header="0.3" footer="0.3"/>
      <pageSetup paperSize="9" scale="53" orientation="portrait"/>
      <headerFooter>
        <oddFooter>&amp;R&amp;12F-EN-03 Rev.04  Effective Date:  24 May-21</oddFooter>
      </headerFooter>
    </customSheetView>
    <customSheetView guid="{C6EC2A9F-4D28-4B13-A181-43471E5FA580}" scale="70" showPageBreaks="1" showGridLines="0" showRowCol="0" fitToPage="1" printArea="1" hiddenRows="1" view="pageBreakPreview" topLeftCell="A28">
      <selection activeCell="BE43" sqref="BE43"/>
      <pageMargins left="0.7" right="0.7" top="0.75" bottom="0.75" header="0.3" footer="0.3"/>
      <pageSetup paperSize="9" scale="56" orientation="portrait" verticalDpi="300"/>
      <headerFooter>
        <oddFooter>&amp;R&amp;12F-EN-03 Rev.04  Effective Date:  24 May-21</oddFooter>
      </headerFooter>
    </customSheetView>
    <customSheetView guid="{A8B30D1E-7EC0-4837-AB67-E8ADA658B937}" scale="70" showPageBreaks="1" showGridLines="0" showRowCol="0" fitToPage="1" printArea="1" hiddenRows="1" view="pageBreakPreview" topLeftCell="A28">
      <selection activeCell="AY47" sqref="AY47"/>
      <pageMargins left="0.7" right="0.7" top="0.75" bottom="0.75" header="0.3" footer="0.3"/>
      <pageSetup paperSize="9" scale="53" orientation="portrait"/>
      <headerFooter>
        <oddFooter>&amp;R&amp;12F-EN-03 Rev.04  Effective Date:  24 May-21</oddFooter>
      </headerFooter>
    </customSheetView>
    <customSheetView guid="{085F2103-108A-483C-AAD7-AC1049A79BF0}" scale="60" showPageBreaks="1" showGridLines="0" showRowCol="0" fitToPage="1" printArea="1" hiddenRows="1" view="pageBreakPreview" topLeftCell="A28">
      <selection activeCell="AW62" sqref="AW62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AA76D42C-FF81-4012-9724-37BEA4274EAD}" scale="60" showPageBreaks="1" showGridLines="0" showRowCol="0" fitToPage="1" printArea="1" hiddenRows="1" view="pageBreakPreview" topLeftCell="A28">
      <pane ySplit="32" topLeftCell="A62" activePane="bottomLeft" state="frozenSplit"/>
      <selection pane="bottomLeft" activeCell="BB44" sqref="BB44"/>
      <pageMargins left="0.7" right="0.7" top="0.75" bottom="0.75" header="0.3" footer="0.3"/>
      <pageSetup paperSize="9" scale="57" orientation="portrait" verticalDpi="0"/>
      <headerFooter>
        <oddFooter>&amp;R&amp;12F-EN-03 Rev.04  Effective Date:  24 May-21</oddFooter>
      </headerFooter>
    </customSheetView>
    <customSheetView guid="{12A57108-64EE-4143-BE7B-0E614C9693B7}" scale="60" showPageBreaks="1" showGridLines="0" showRowCol="0" fitToPage="1" printArea="1" hiddenRows="1" view="pageBreakPreview" topLeftCell="A28">
      <selection activeCell="BC56" sqref="BC56"/>
      <pageMargins left="0.7" right="0.7" top="0.75" bottom="0.75" header="0.3" footer="0.3"/>
      <pageSetup paperSize="9" scale="53" orientation="portrait"/>
      <headerFooter>
        <oddFooter>&amp;R&amp;12F-EN-03 Rev.04  Effective Date:  24 May-21</oddFooter>
      </headerFooter>
    </customSheetView>
    <customSheetView guid="{14DE6746-EFE9-4648-B824-D04A77CB20AF}" scale="60" showPageBreaks="1" showGridLines="0" showRowCol="0" fitToPage="1" printArea="1" hiddenRows="1" view="pageBreakPreview">
      <pane ySplit="34" topLeftCell="A35" activePane="bottomLeft" state="frozenSplit"/>
      <selection pane="bottomLeft" activeCell="BB44" sqref="BB44"/>
      <pageMargins left="0.7" right="0.7" top="0.75" bottom="0.75" header="0.3" footer="0.3"/>
      <pageSetup paperSize="9" scale="56" orientation="portrait"/>
      <headerFooter>
        <oddFooter>&amp;R&amp;12F-EN-03 Rev.04  Effective Date:  24 May-21</oddFooter>
      </headerFooter>
    </customSheetView>
    <customSheetView guid="{571287FD-093D-4EDC-8BD3-D98642EB99C3}" scale="70" showPageBreaks="1" showGridLines="0" showRowCol="0" fitToPage="1" printArea="1" hiddenRows="1" view="pageBreakPreview">
      <pane ySplit="33" topLeftCell="A35" activePane="bottomLeft" state="frozenSplit"/>
      <selection pane="bottomLeft" activeCell="AY46" sqref="AY46"/>
      <pageMargins left="0.7" right="0.7" top="0.75" bottom="0.75" header="0.3" footer="0.3"/>
      <pageSetup paperSize="9" scale="57" orientation="portrait" verticalDpi="0"/>
      <headerFooter>
        <oddFooter>&amp;R&amp;12F-EN-03 Rev.04  Effective Date:  24 May-21</oddFooter>
      </headerFooter>
    </customSheetView>
    <customSheetView guid="{9D751A57-40DA-49B8-9508-C6D7ED5E68F3}" scale="70" showPageBreaks="1" showGridLines="0" showRowCol="0" fitToPage="1" printArea="1" hiddenRows="1" view="pageBreakPreview" topLeftCell="A28">
      <selection activeCell="D48" sqref="D48:AS48"/>
      <pageMargins left="0.7" right="0.7" top="0.75" bottom="0.75" header="0.3" footer="0.3"/>
      <pageSetup paperSize="9" scale="58" orientation="portrait" verticalDpi="0"/>
      <headerFooter>
        <oddFooter>&amp;R&amp;12F-EN-03 Rev.04  Effective Date:  24 May-21</oddFooter>
      </headerFooter>
    </customSheetView>
    <customSheetView guid="{E7A00FAE-CEE3-4432-99AD-61BFF44ED7B2}" scale="60" showPageBreaks="1" showGridLines="0" showRowCol="0" fitToPage="1" printArea="1" hiddenRows="1" view="pageBreakPreview" topLeftCell="A28">
      <selection activeCell="D48" sqref="D48:AS48"/>
      <pageMargins left="0.7" right="0.7" top="0.75" bottom="0.75" header="0.3" footer="0.3"/>
      <pageSetup paperSize="9" scale="58" orientation="portrait"/>
      <headerFooter>
        <oddFooter>&amp;R&amp;12F-EN-03 Rev.04  Effective Date:  24 May-21</oddFooter>
      </headerFooter>
    </customSheetView>
    <customSheetView guid="{4B160FCE-E4E1-4C5F-A95A-098B4092602F}" scale="70" showPageBreaks="1" showGridLines="0" showRowCol="0" fitToPage="1" printArea="1" hiddenRows="1" view="pageBreakPreview" topLeftCell="A28">
      <pane ySplit="33" topLeftCell="A161" activePane="bottomLeft" state="frozenSplit"/>
      <selection pane="bottomLeft" activeCell="AW41" sqref="AW41"/>
      <pageMargins left="0.7" right="0.7" top="0.75" bottom="0.75" header="0.3" footer="0.3"/>
      <pageSetup paperSize="9" scale="58" orientation="portrait"/>
      <headerFooter>
        <oddFooter>&amp;R&amp;12F-EN-03 Rev.04  Effective Date:  24 May-21</oddFooter>
      </headerFooter>
    </customSheetView>
    <customSheetView guid="{F1DD1301-AC38-417E-9FDD-EF4BAF952014}" scale="80" showPageBreaks="1" showGridLines="0" showRowCol="0" fitToPage="1" printArea="1" hiddenRows="1" view="pageBreakPreview" topLeftCell="A28">
      <pane ySplit="32" topLeftCell="A253" activePane="bottomLeft" state="frozenSplit"/>
      <selection pane="bottomLeft" activeCell="D48" sqref="D48:AS48"/>
      <pageMargins left="0.7" right="0.7" top="0.75" bottom="0.75" header="0.3" footer="0.3"/>
      <pageSetup paperSize="9" scale="58" orientation="portrait"/>
      <headerFooter>
        <oddFooter>&amp;R&amp;12F-EN-03 Rev.04  Effective Date:  24 May-21</oddFooter>
      </headerFooter>
    </customSheetView>
    <customSheetView guid="{CBDFD7FD-13DC-4516-894B-851351BA6AB9}" scale="70" showPageBreaks="1" showGridLines="0" showRowCol="0" fitToPage="1" printArea="1" hiddenRows="1" view="pageBreakPreview" topLeftCell="A28">
      <selection activeCell="D48" sqref="D48:AS48"/>
      <pageMargins left="0.7" right="0.7" top="0.75" bottom="0.75" header="0.3" footer="0.3"/>
      <pageSetup paperSize="9" scale="57" orientation="portrait" verticalDpi="300"/>
      <headerFooter>
        <oddFooter>&amp;R&amp;12F-EN-03 Rev.04  Effective Date:  24 May-21</oddFooter>
      </headerFooter>
    </customSheetView>
    <customSheetView guid="{97539152-52C8-4DC4-9652-C2441287C382}" scale="60" showPageBreaks="1" showGridLines="0" showRowCol="0" fitToPage="1" printArea="1" hiddenRows="1" view="pageBreakPreview" topLeftCell="A28">
      <pane ySplit="32" topLeftCell="A62" activePane="bottomLeft" state="frozenSplit"/>
      <selection pane="bottomLeft" activeCell="BB44" sqref="BB44"/>
      <pageMargins left="0.7" right="0.7" top="0.75" bottom="0.75" header="0.3" footer="0.3"/>
      <pageSetup paperSize="9" scale="57" orientation="portrait" horizontalDpi="300" verticalDpi="300"/>
      <headerFooter>
        <oddFooter>&amp;R&amp;12F-EN-03 Rev.04  Effective Date:  24 May-21</oddFooter>
      </headerFooter>
    </customSheetView>
    <customSheetView guid="{625D5130-06C8-4D06-A975-ABA68D083B42}" scale="8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D38BCB13-F037-4451-83C8-426AA15E9A23}" scale="70" showPageBreaks="1" showGridLines="0" showRowCol="0" fitToPage="1" printArea="1" hiddenRows="1" view="pageBreakPreview" topLeftCell="A28">
      <pane ySplit="31" topLeftCell="A71" activePane="bottomLeft" state="frozenSplit"/>
      <selection pane="bottomLeft" activeCell="G111" sqref="G111:O111"/>
      <pageMargins left="0.7" right="0.7" top="0.75" bottom="0.75" header="0.3" footer="0.3"/>
      <pageSetup paperSize="9" scale="53" orientation="portrait"/>
      <headerFooter>
        <oddFooter>&amp;R&amp;12F-EN-03 Rev.04  Effective Date:  24 May-21</oddFooter>
      </headerFooter>
    </customSheetView>
    <customSheetView guid="{FFA4E102-9562-4603-B4B7-1AA791121E50}" scale="8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26F4FC40-0203-4AB2-999C-B727B44DE180}" scale="70" showPageBreaks="1" showGridLines="0" showRowCol="0" fitToPage="1" printArea="1" hiddenRows="1" view="pageBreakPreview" topLeftCell="A28">
      <selection activeCell="AX40" sqref="AX40"/>
      <pageMargins left="0.7" right="0.7" top="0.75" bottom="0.75" header="0.3" footer="0.3"/>
      <pageSetup paperSize="9" scale="55" orientation="portrait"/>
      <headerFooter>
        <oddFooter>&amp;R&amp;12F-EN-03 Rev.04  Effective Date:  24 May-21</oddFooter>
      </headerFooter>
    </customSheetView>
    <customSheetView guid="{C2BD8B16-66E1-415D-BFAF-8EC20656B471}" scale="8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A33059F9-880A-48B3-B760-652DEE2C0F24}" scale="80" showPageBreaks="1" showGridLines="0" showRowCol="0" fitToPage="1" printArea="1" hiddenRows="1" view="pageBreakPreview" topLeftCell="A28">
      <selection activeCell="D49" sqref="D49:AS49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237F4384-CDB9-4F0B-B39B-8D9D4FE9822F}" scale="70" showPageBreaks="1" showGridLines="0" showRowCol="0" fitToPage="1" printArea="1" hiddenRows="1" view="pageBreakPreview" topLeftCell="A28">
      <selection activeCell="AX40" sqref="AX40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98415BE6-01A1-4743-8C25-780D87EBA836}" scale="70" showPageBreaks="1" showGridLines="0" showRowCol="0" fitToPage="1" printArea="1" hiddenRows="1" view="pageBreakPreview" topLeftCell="A28">
      <selection activeCell="M36" sqref="M36:AB36"/>
      <pageMargins left="0.7" right="0.7" top="0.75" bottom="0.75" header="0.3" footer="0.3"/>
      <pageSetup paperSize="9" scale="53" orientation="portrait" verticalDpi="0"/>
      <headerFooter>
        <oddFooter>&amp;R&amp;12F-EN-03 Rev.04  Effective Date:  24 May-21</oddFooter>
      </headerFooter>
    </customSheetView>
    <customSheetView guid="{F6E435B2-B188-488F-8598-AFC48570180D}" scale="8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4DDE8A91-C6DD-44C1-92EF-AB0B970F1E28}" scale="60" showPageBreaks="1" showGridLines="0" showRowCol="0" fitToPage="1" printArea="1" hiddenRows="1" view="pageBreakPreview" topLeftCell="A28">
      <pane ySplit="32" topLeftCell="A63" activePane="bottomLeft" state="frozenSplit"/>
      <selection pane="bottomLeft" activeCell="BB44" sqref="BB44"/>
      <pageMargins left="0.7" right="0.7" top="0.75" bottom="0.75" header="0.3" footer="0.3"/>
      <pageSetup paperSize="0" orientation="portrait" horizontalDpi="0" verticalDpi="0" copies="0"/>
      <headerFooter>
        <oddFooter>&amp;R&amp;12F-EN-03 Rev.04  Effective Date:  24 May-21</oddFooter>
      </headerFooter>
    </customSheetView>
    <customSheetView guid="{8BDCE61A-B3F6-4F3F-A672-61D8A85D1956}" scale="80" showPageBreaks="1" showGridLines="0" showRowCol="0" fitToPage="1" printArea="1" hiddenRows="1" view="pageBreakPreview" topLeftCell="A28">
      <selection activeCell="D49" sqref="D49:AS49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  <customSheetView guid="{81AC8332-CC6D-4DF7-A113-DAE8234E2D58}" scale="80" showPageBreaks="1" showGridLines="0" showRowCol="0" fitToPage="1" printArea="1" hiddenRows="1" view="pageBreakPreview" topLeftCell="A28">
      <selection activeCell="AB48" sqref="AB48"/>
      <pageMargins left="0.7" right="0.7" top="0.75" bottom="0.75" header="0.3" footer="0.3"/>
      <pageSetup paperSize="9" scale="57" orientation="portrait"/>
      <headerFooter>
        <oddFooter>&amp;R&amp;12F-EN-03 Rev.04  Effective Date:  24 May-21</oddFooter>
      </headerFooter>
    </customSheetView>
  </customSheetViews>
  <mergeCells count="141">
    <mergeCell ref="AN102:AO102"/>
    <mergeCell ref="G100:W100"/>
    <mergeCell ref="AJ65:AS65"/>
    <mergeCell ref="AP103:AS103"/>
    <mergeCell ref="AP101:AS101"/>
    <mergeCell ref="AH91:AS91"/>
    <mergeCell ref="AH90:AS90"/>
    <mergeCell ref="Y100:AC100"/>
    <mergeCell ref="AP102:AS102"/>
    <mergeCell ref="AD85:AG85"/>
    <mergeCell ref="AH65:AI65"/>
    <mergeCell ref="AC65:AG65"/>
    <mergeCell ref="AD90:AG90"/>
    <mergeCell ref="AD91:AG91"/>
    <mergeCell ref="AE67:AS67"/>
    <mergeCell ref="AE69:AS69"/>
    <mergeCell ref="AE71:AS71"/>
    <mergeCell ref="AE73:AS73"/>
    <mergeCell ref="AL97:AM97"/>
    <mergeCell ref="AN97:AO97"/>
    <mergeCell ref="AP97:AS97"/>
    <mergeCell ref="AL96:AS96"/>
    <mergeCell ref="AL95:AS95"/>
    <mergeCell ref="AD95:AK95"/>
    <mergeCell ref="E103:F103"/>
    <mergeCell ref="G103:W103"/>
    <mergeCell ref="Y93:AS94"/>
    <mergeCell ref="AN103:AO103"/>
    <mergeCell ref="Y103:AC103"/>
    <mergeCell ref="AD103:AE103"/>
    <mergeCell ref="AF103:AG103"/>
    <mergeCell ref="AH103:AK103"/>
    <mergeCell ref="AL103:AM103"/>
    <mergeCell ref="AH101:AK101"/>
    <mergeCell ref="AL101:AM101"/>
    <mergeCell ref="AN101:AO101"/>
    <mergeCell ref="Y102:AC102"/>
    <mergeCell ref="AD102:AE102"/>
    <mergeCell ref="AF102:AG102"/>
    <mergeCell ref="AH102:AK102"/>
    <mergeCell ref="AL102:AM102"/>
    <mergeCell ref="AD100:AE100"/>
    <mergeCell ref="AF100:AG100"/>
    <mergeCell ref="AH100:AK100"/>
    <mergeCell ref="AL100:AM100"/>
    <mergeCell ref="AN100:AO100"/>
    <mergeCell ref="AP100:AS100"/>
    <mergeCell ref="AP98:AS99"/>
    <mergeCell ref="T111:AS114"/>
    <mergeCell ref="D107:G107"/>
    <mergeCell ref="D108:G108"/>
    <mergeCell ref="D109:J109"/>
    <mergeCell ref="Q109:S109"/>
    <mergeCell ref="D112:F112"/>
    <mergeCell ref="D113:F113"/>
    <mergeCell ref="P112:S112"/>
    <mergeCell ref="G112:O112"/>
    <mergeCell ref="G113:O113"/>
    <mergeCell ref="AM109:AP109"/>
    <mergeCell ref="H107:K107"/>
    <mergeCell ref="D87:E87"/>
    <mergeCell ref="D88:E88"/>
    <mergeCell ref="D90:E90"/>
    <mergeCell ref="F87:AC87"/>
    <mergeCell ref="F91:AC91"/>
    <mergeCell ref="F90:AC90"/>
    <mergeCell ref="F88:AC88"/>
    <mergeCell ref="D86:E86"/>
    <mergeCell ref="F85:AC85"/>
    <mergeCell ref="F86:AC86"/>
    <mergeCell ref="AJ105:AS105"/>
    <mergeCell ref="T105:AI105"/>
    <mergeCell ref="N107:R107"/>
    <mergeCell ref="N108:R108"/>
    <mergeCell ref="K109:P109"/>
    <mergeCell ref="D105:S105"/>
    <mergeCell ref="AN107:AN108"/>
    <mergeCell ref="AO107:AP108"/>
    <mergeCell ref="L107:M107"/>
    <mergeCell ref="L108:M108"/>
    <mergeCell ref="H108:K108"/>
    <mergeCell ref="AL36:AS36"/>
    <mergeCell ref="AL38:AS38"/>
    <mergeCell ref="M36:AB36"/>
    <mergeCell ref="C34:AT34"/>
    <mergeCell ref="M38:AB38"/>
    <mergeCell ref="D49:AS49"/>
    <mergeCell ref="D47:AS47"/>
    <mergeCell ref="D51:F51"/>
    <mergeCell ref="R51:U51"/>
    <mergeCell ref="AB51:AL51"/>
    <mergeCell ref="G51:Q51"/>
    <mergeCell ref="AM51:AS51"/>
    <mergeCell ref="G30:M31"/>
    <mergeCell ref="G32:M33"/>
    <mergeCell ref="N30:AK31"/>
    <mergeCell ref="N32:AK33"/>
    <mergeCell ref="AL31:AT32"/>
    <mergeCell ref="Y51:AA51"/>
    <mergeCell ref="AD87:AG87"/>
    <mergeCell ref="AD88:AG88"/>
    <mergeCell ref="AH87:AS87"/>
    <mergeCell ref="AH86:AS86"/>
    <mergeCell ref="AE75:AS75"/>
    <mergeCell ref="G82:Q82"/>
    <mergeCell ref="AB82:AL82"/>
    <mergeCell ref="D78:AS78"/>
    <mergeCell ref="D80:AS80"/>
    <mergeCell ref="E67:F67"/>
    <mergeCell ref="G75:Z75"/>
    <mergeCell ref="AH85:AS85"/>
    <mergeCell ref="C53:AT53"/>
    <mergeCell ref="AH88:AS88"/>
    <mergeCell ref="C30:F33"/>
    <mergeCell ref="AL30:AT30"/>
    <mergeCell ref="AL33:AT33"/>
    <mergeCell ref="D84:AS84"/>
    <mergeCell ref="E75:F75"/>
    <mergeCell ref="G67:Z67"/>
    <mergeCell ref="AD96:AK96"/>
    <mergeCell ref="AN98:AO99"/>
    <mergeCell ref="Y95:AC97"/>
    <mergeCell ref="E100:F100"/>
    <mergeCell ref="Y101:AC101"/>
    <mergeCell ref="AD101:AE101"/>
    <mergeCell ref="D85:E85"/>
    <mergeCell ref="D82:F82"/>
    <mergeCell ref="R82:U82"/>
    <mergeCell ref="Y82:AA82"/>
    <mergeCell ref="AM82:AS82"/>
    <mergeCell ref="AF101:AG101"/>
    <mergeCell ref="AD97:AE97"/>
    <mergeCell ref="AF97:AG97"/>
    <mergeCell ref="AH97:AK97"/>
    <mergeCell ref="AF98:AG99"/>
    <mergeCell ref="AL98:AM99"/>
    <mergeCell ref="D91:E91"/>
    <mergeCell ref="AD86:AG86"/>
    <mergeCell ref="AH98:AK99"/>
    <mergeCell ref="Y98:AC99"/>
    <mergeCell ref="AD98:AE99"/>
  </mergeCells>
  <conditionalFormatting sqref="D78:AS78">
    <cfRule type="containsText" dxfId="4" priority="8" operator="containsText" text="0">
      <formula>NOT(ISERROR(SEARCH("0",D78)))</formula>
    </cfRule>
  </conditionalFormatting>
  <conditionalFormatting sqref="AD87:AG87">
    <cfRule type="containsText" dxfId="3" priority="7" operator="containsText" text="0">
      <formula>NOT(ISERROR(SEARCH("0",AD87)))</formula>
    </cfRule>
  </conditionalFormatting>
  <conditionalFormatting sqref="AB51:AL51 AE67:AS67">
    <cfRule type="containsText" dxfId="2" priority="6" operator="containsText" text="0">
      <formula>NOT(ISERROR(SEARCH("0",AB51)))</formula>
    </cfRule>
  </conditionalFormatting>
  <conditionalFormatting sqref="H107:K108 N107:R108 K109:P109">
    <cfRule type="cellIs" dxfId="1" priority="5" operator="equal">
      <formula>0</formula>
    </cfRule>
  </conditionalFormatting>
  <conditionalFormatting sqref="F87:AC87">
    <cfRule type="cellIs" dxfId="0" priority="1" operator="equal">
      <formula>0</formula>
    </cfRule>
  </conditionalFormatting>
  <pageMargins left="0.48" right="0" top="0.26" bottom="0" header="0" footer="0"/>
  <pageSetup paperSize="9" scale="57" orientation="portrait" r:id="rId1"/>
  <headerFooter>
    <oddFooter>&amp;R&amp;12F-EN-03 Rev.05  Effective Date:  04 Jan-24</oddFooter>
  </headerFooter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1" tint="0.34998626667073579"/>
    <pageSetUpPr fitToPage="1"/>
  </sheetPr>
  <dimension ref="C1:K45"/>
  <sheetViews>
    <sheetView showGridLines="0" showRowColHeaders="0" view="pageBreakPreview" zoomScale="80" zoomScaleNormal="80" zoomScaleSheetLayoutView="80" zoomScalePageLayoutView="80" workbookViewId="0">
      <pane ySplit="7" topLeftCell="A17" activePane="bottomLeft" state="frozen"/>
      <selection pane="bottomLeft" activeCell="D11" sqref="D11"/>
    </sheetView>
  </sheetViews>
  <sheetFormatPr defaultColWidth="9.42578125" defaultRowHeight="24"/>
  <cols>
    <col min="1" max="1" width="1.42578125" style="156" customWidth="1"/>
    <col min="2" max="2" width="0.42578125" style="156" customWidth="1"/>
    <col min="3" max="3" width="13.42578125" style="156" customWidth="1"/>
    <col min="4" max="4" width="32.42578125" style="156" customWidth="1"/>
    <col min="5" max="9" width="23.42578125" style="156" customWidth="1"/>
    <col min="10" max="10" width="22.42578125" style="156" customWidth="1"/>
    <col min="11" max="11" width="28.42578125" style="156" customWidth="1"/>
    <col min="12" max="12" width="0.42578125" style="156" customWidth="1"/>
    <col min="13" max="16384" width="9.42578125" style="156"/>
  </cols>
  <sheetData>
    <row r="1" spans="3:11" ht="10.15" customHeight="1">
      <c r="D1" s="156" t="s">
        <v>293</v>
      </c>
    </row>
    <row r="2" spans="3:11" ht="4.9000000000000004" customHeight="1"/>
    <row r="3" spans="3:11">
      <c r="C3" s="157"/>
      <c r="D3" s="158"/>
      <c r="E3" s="396" t="s">
        <v>294</v>
      </c>
      <c r="F3" s="397"/>
      <c r="G3" s="397"/>
      <c r="H3" s="397"/>
      <c r="I3" s="398"/>
      <c r="J3" s="159" t="s">
        <v>295</v>
      </c>
      <c r="K3" s="160" t="s">
        <v>296</v>
      </c>
    </row>
    <row r="4" spans="3:11">
      <c r="C4" s="161"/>
      <c r="D4" s="162"/>
      <c r="E4" s="399"/>
      <c r="F4" s="400"/>
      <c r="G4" s="400"/>
      <c r="H4" s="400"/>
      <c r="I4" s="401"/>
      <c r="J4" s="163" t="s">
        <v>297</v>
      </c>
      <c r="K4" s="164" t="s">
        <v>298</v>
      </c>
    </row>
    <row r="5" spans="3:11" ht="4.9000000000000004" customHeight="1"/>
    <row r="6" spans="3:11" s="168" customFormat="1" ht="19.899999999999999" customHeight="1">
      <c r="C6" s="402" t="s">
        <v>299</v>
      </c>
      <c r="D6" s="403"/>
      <c r="E6" s="165" t="s">
        <v>300</v>
      </c>
      <c r="F6" s="166" t="s">
        <v>301</v>
      </c>
      <c r="G6" s="166" t="s">
        <v>302</v>
      </c>
      <c r="H6" s="166" t="s">
        <v>303</v>
      </c>
      <c r="I6" s="167" t="s">
        <v>304</v>
      </c>
      <c r="J6" s="166" t="s">
        <v>305</v>
      </c>
      <c r="K6" s="165" t="s">
        <v>7</v>
      </c>
    </row>
    <row r="7" spans="3:11" s="172" customFormat="1" ht="19.899999999999999" customHeight="1">
      <c r="C7" s="404" t="s">
        <v>306</v>
      </c>
      <c r="D7" s="405"/>
      <c r="E7" s="169" t="s">
        <v>307</v>
      </c>
      <c r="F7" s="170" t="s">
        <v>308</v>
      </c>
      <c r="G7" s="170" t="s">
        <v>309</v>
      </c>
      <c r="H7" s="170" t="s">
        <v>310</v>
      </c>
      <c r="I7" s="171" t="s">
        <v>311</v>
      </c>
      <c r="J7" s="170" t="s">
        <v>312</v>
      </c>
      <c r="K7" s="169" t="s">
        <v>48</v>
      </c>
    </row>
    <row r="8" spans="3:11">
      <c r="C8" s="173" t="s">
        <v>313</v>
      </c>
      <c r="D8" s="174"/>
      <c r="E8" s="175" t="s">
        <v>314</v>
      </c>
      <c r="F8" s="176"/>
      <c r="G8" s="176"/>
      <c r="H8" s="176"/>
      <c r="I8" s="177"/>
      <c r="J8" s="178" t="s">
        <v>315</v>
      </c>
      <c r="K8" s="179" t="s">
        <v>316</v>
      </c>
    </row>
    <row r="9" spans="3:11">
      <c r="C9" s="180" t="s">
        <v>317</v>
      </c>
      <c r="D9" s="181"/>
      <c r="F9" s="182"/>
      <c r="G9" s="182"/>
      <c r="H9" s="182"/>
      <c r="J9" s="178"/>
      <c r="K9" s="181" t="s">
        <v>318</v>
      </c>
    </row>
    <row r="10" spans="3:11">
      <c r="C10" s="183" t="s">
        <v>319</v>
      </c>
      <c r="D10" s="184"/>
      <c r="F10" s="182"/>
      <c r="G10" s="182"/>
      <c r="H10" s="182"/>
      <c r="J10" s="178"/>
      <c r="K10" s="181"/>
    </row>
    <row r="11" spans="3:11">
      <c r="C11" s="185" t="s">
        <v>320</v>
      </c>
      <c r="D11" s="186"/>
      <c r="E11" s="187"/>
      <c r="F11" s="188"/>
      <c r="G11" s="188"/>
      <c r="H11" s="188"/>
      <c r="I11" s="187"/>
      <c r="J11" s="189"/>
      <c r="K11" s="190"/>
    </row>
    <row r="12" spans="3:11">
      <c r="C12" s="191" t="s">
        <v>321</v>
      </c>
      <c r="D12" s="184"/>
      <c r="F12" s="182"/>
      <c r="G12" s="182"/>
      <c r="H12" s="182"/>
      <c r="J12" s="178" t="s">
        <v>322</v>
      </c>
      <c r="K12" s="181" t="s">
        <v>323</v>
      </c>
    </row>
    <row r="13" spans="3:11">
      <c r="C13" s="191" t="s">
        <v>324</v>
      </c>
      <c r="D13" s="184"/>
      <c r="F13" s="182"/>
      <c r="G13" s="182"/>
      <c r="H13" s="182"/>
      <c r="J13" s="178" t="s">
        <v>325</v>
      </c>
      <c r="K13" s="181" t="s">
        <v>326</v>
      </c>
    </row>
    <row r="14" spans="3:11">
      <c r="C14" s="180" t="s">
        <v>327</v>
      </c>
      <c r="D14" s="192"/>
      <c r="F14" s="182"/>
      <c r="G14" s="182"/>
      <c r="H14" s="182"/>
      <c r="J14" s="178" t="s">
        <v>315</v>
      </c>
      <c r="K14" s="181" t="s">
        <v>328</v>
      </c>
    </row>
    <row r="15" spans="3:11">
      <c r="C15" s="183" t="s">
        <v>329</v>
      </c>
      <c r="D15" s="181"/>
      <c r="F15" s="182"/>
      <c r="G15" s="182"/>
      <c r="H15" s="182"/>
      <c r="J15" s="178" t="s">
        <v>330</v>
      </c>
      <c r="K15" s="181" t="s">
        <v>331</v>
      </c>
    </row>
    <row r="16" spans="3:11">
      <c r="C16" s="180" t="s">
        <v>332</v>
      </c>
      <c r="D16" s="181"/>
      <c r="F16" s="182"/>
      <c r="G16" s="182"/>
      <c r="H16" s="182"/>
      <c r="J16" s="178" t="s">
        <v>333</v>
      </c>
      <c r="K16" s="181" t="s">
        <v>334</v>
      </c>
    </row>
    <row r="17" spans="3:11">
      <c r="C17" s="180" t="s">
        <v>335</v>
      </c>
      <c r="D17" s="181"/>
      <c r="F17" s="182"/>
      <c r="G17" s="182"/>
      <c r="H17" s="182"/>
      <c r="J17" s="178"/>
      <c r="K17" s="181" t="s">
        <v>336</v>
      </c>
    </row>
    <row r="18" spans="3:11">
      <c r="C18" s="180" t="s">
        <v>337</v>
      </c>
      <c r="D18" s="181"/>
      <c r="F18" s="182"/>
      <c r="G18" s="182"/>
      <c r="H18" s="182"/>
      <c r="J18" s="178"/>
      <c r="K18" s="181" t="s">
        <v>338</v>
      </c>
    </row>
    <row r="19" spans="3:11">
      <c r="C19" s="180" t="s">
        <v>339</v>
      </c>
      <c r="D19" s="181"/>
      <c r="F19" s="182"/>
      <c r="G19" s="182"/>
      <c r="H19" s="182"/>
      <c r="J19" s="178"/>
      <c r="K19" s="181" t="s">
        <v>340</v>
      </c>
    </row>
    <row r="20" spans="3:11">
      <c r="C20" s="180" t="s">
        <v>341</v>
      </c>
      <c r="D20" s="181"/>
      <c r="F20" s="182"/>
      <c r="G20" s="182"/>
      <c r="H20" s="182"/>
      <c r="J20" s="178"/>
      <c r="K20" s="181" t="s">
        <v>342</v>
      </c>
    </row>
    <row r="21" spans="3:11">
      <c r="C21" s="180" t="s">
        <v>343</v>
      </c>
      <c r="D21" s="181"/>
      <c r="F21" s="182"/>
      <c r="G21" s="182"/>
      <c r="H21" s="182"/>
      <c r="J21" s="178"/>
      <c r="K21" s="181"/>
    </row>
    <row r="22" spans="3:11">
      <c r="C22" s="180" t="s">
        <v>344</v>
      </c>
      <c r="D22" s="181"/>
      <c r="F22" s="182"/>
      <c r="G22" s="182"/>
      <c r="H22" s="182"/>
      <c r="J22" s="178"/>
      <c r="K22" s="181"/>
    </row>
    <row r="23" spans="3:11">
      <c r="C23" s="180" t="s">
        <v>345</v>
      </c>
      <c r="D23" s="181"/>
      <c r="F23" s="182"/>
      <c r="G23" s="182"/>
      <c r="H23" s="182"/>
      <c r="J23" s="178"/>
      <c r="K23" s="181"/>
    </row>
    <row r="24" spans="3:11">
      <c r="C24" s="180" t="s">
        <v>346</v>
      </c>
      <c r="D24" s="181"/>
      <c r="F24" s="182"/>
      <c r="G24" s="182"/>
      <c r="H24" s="182"/>
      <c r="J24" s="178"/>
      <c r="K24" s="181"/>
    </row>
    <row r="25" spans="3:11">
      <c r="C25" s="180" t="s">
        <v>347</v>
      </c>
      <c r="D25" s="181"/>
      <c r="F25" s="182"/>
      <c r="G25" s="182"/>
      <c r="H25" s="182"/>
      <c r="J25" s="178"/>
      <c r="K25" s="181"/>
    </row>
    <row r="26" spans="3:11">
      <c r="C26" s="180" t="s">
        <v>348</v>
      </c>
      <c r="D26" s="181"/>
      <c r="F26" s="182"/>
      <c r="G26" s="182"/>
      <c r="H26" s="182"/>
      <c r="J26" s="178"/>
      <c r="K26" s="181"/>
    </row>
    <row r="27" spans="3:11">
      <c r="C27" s="180" t="s">
        <v>349</v>
      </c>
      <c r="D27" s="181"/>
      <c r="F27" s="182"/>
      <c r="G27" s="182"/>
      <c r="H27" s="182"/>
      <c r="J27" s="178"/>
      <c r="K27" s="181"/>
    </row>
    <row r="28" spans="3:11">
      <c r="C28" s="180" t="s">
        <v>350</v>
      </c>
      <c r="D28" s="181"/>
      <c r="F28" s="182"/>
      <c r="G28" s="182"/>
      <c r="H28" s="182"/>
      <c r="J28" s="178"/>
      <c r="K28" s="181"/>
    </row>
    <row r="29" spans="3:11">
      <c r="C29" s="180" t="s">
        <v>351</v>
      </c>
      <c r="D29" s="181"/>
      <c r="F29" s="182"/>
      <c r="G29" s="182"/>
      <c r="H29" s="182"/>
      <c r="J29" s="178"/>
      <c r="K29" s="181"/>
    </row>
    <row r="30" spans="3:11">
      <c r="C30" s="180"/>
      <c r="D30" s="181"/>
      <c r="F30" s="182"/>
      <c r="G30" s="182"/>
      <c r="H30" s="182"/>
      <c r="J30" s="178"/>
      <c r="K30" s="181"/>
    </row>
    <row r="31" spans="3:11">
      <c r="C31" s="180"/>
      <c r="D31" s="181"/>
      <c r="F31" s="182"/>
      <c r="G31" s="182"/>
      <c r="H31" s="182"/>
      <c r="J31" s="178"/>
      <c r="K31" s="181"/>
    </row>
    <row r="32" spans="3:11">
      <c r="C32" s="180"/>
      <c r="D32" s="181"/>
      <c r="F32" s="182"/>
      <c r="G32" s="182"/>
      <c r="H32" s="182"/>
      <c r="J32" s="178"/>
      <c r="K32" s="181"/>
    </row>
    <row r="33" spans="3:11">
      <c r="C33" s="180"/>
      <c r="D33" s="181"/>
      <c r="F33" s="182"/>
      <c r="G33" s="182"/>
      <c r="H33" s="182"/>
      <c r="J33" s="173" t="s">
        <v>352</v>
      </c>
      <c r="K33" s="179"/>
    </row>
    <row r="34" spans="3:11">
      <c r="C34" s="180"/>
      <c r="D34" s="181"/>
      <c r="F34" s="182"/>
      <c r="G34" s="182"/>
      <c r="H34" s="182"/>
      <c r="J34" s="180" t="s">
        <v>353</v>
      </c>
      <c r="K34" s="181"/>
    </row>
    <row r="35" spans="3:11">
      <c r="C35" s="180"/>
      <c r="D35" s="181"/>
      <c r="F35" s="182"/>
      <c r="G35" s="182"/>
      <c r="H35" s="182"/>
      <c r="J35" s="180" t="s">
        <v>354</v>
      </c>
      <c r="K35" s="181"/>
    </row>
    <row r="36" spans="3:11">
      <c r="C36" s="180"/>
      <c r="D36" s="181"/>
      <c r="F36" s="193" t="s">
        <v>355</v>
      </c>
      <c r="G36" s="182"/>
      <c r="H36" s="182"/>
      <c r="J36" s="180" t="s">
        <v>356</v>
      </c>
      <c r="K36" s="181"/>
    </row>
    <row r="37" spans="3:11">
      <c r="C37" s="194"/>
      <c r="D37" s="195"/>
      <c r="E37" s="196"/>
      <c r="F37" s="197"/>
      <c r="G37" s="197"/>
      <c r="H37" s="197"/>
      <c r="I37" s="196"/>
      <c r="J37" s="194" t="s">
        <v>357</v>
      </c>
      <c r="K37" s="195"/>
    </row>
    <row r="38" spans="3:11" ht="4.9000000000000004" customHeight="1"/>
    <row r="44" spans="3:11">
      <c r="J44" s="198"/>
    </row>
    <row r="45" spans="3:11">
      <c r="K45" s="198"/>
    </row>
  </sheetData>
  <customSheetViews>
    <customSheetView guid="{725C6403-CA7F-4F2C-9A0D-0A8F381A2CAD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78AF171D-678D-4785-AAA3-E13B4851B7AE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A3E2F7B2-EDD4-496B-AB8C-6D4480FC978E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92E2A3D6-6865-4A95-8F02-7FDA997293A9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D2673080-F890-47E1-8D19-24DC44CD3D17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3C44DCB8-AE21-460C-BE83-16ED4ECEF164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3" orientation="landscape"/>
    </customSheetView>
    <customSheetView guid="{C8668995-1005-4688-A6EB-A2F3AE31A309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3" orientation="landscape"/>
    </customSheetView>
    <customSheetView guid="{A67533C0-DC49-40DE-AEF5-5C17FB95027C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6E45CC1C-F2B4-4E71-B4D9-E4A83D340A41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46" orientation="landscape"/>
    </customSheetView>
    <customSheetView guid="{5FEB8780-83A5-46AA-A5CB-9F9A479E52D7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2" orientation="landscape"/>
    </customSheetView>
    <customSheetView guid="{C6EC2A9F-4D28-4B13-A181-43471E5FA580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7" orientation="landscape"/>
    </customSheetView>
    <customSheetView guid="{A8B30D1E-7EC0-4837-AB67-E8ADA658B937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2" orientation="landscape"/>
    </customSheetView>
    <customSheetView guid="{085F2103-108A-483C-AAD7-AC1049A79BF0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6" orientation="landscape"/>
    </customSheetView>
    <customSheetView guid="{AA76D42C-FF81-4012-9724-37BEA4274EAD}" scale="80" showPageBreaks="1" showGridLines="0" showRowCol="0" fitToPage="1" printArea="1" view="pageBreakPreview">
      <pane ySplit="7" topLeftCell="A8" activePane="bottomLeft" state="frozenSplit"/>
      <selection pane="bottomLeft" activeCell="D23" sqref="D23"/>
      <pageMargins left="0.7" right="0.7" top="0.75" bottom="0.75" header="0.3" footer="0.3"/>
      <pageSetup paperSize="9" scale="46" orientation="portrait" verticalDpi="0"/>
    </customSheetView>
    <customSheetView guid="{12A57108-64EE-4143-BE7B-0E614C9693B7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2" orientation="landscape"/>
    </customSheetView>
    <customSheetView guid="{E7A00FAE-CEE3-4432-99AD-61BFF44ED7B2}" scale="80" showPageBreaks="1" showGridLines="0" showRowCol="0" fitToPage="1" printArea="1" view="pageBreakPreview">
      <pane ySplit="7" topLeftCell="A8" activePane="bottomLeft" state="frozenSplit"/>
      <selection pane="bottomLeft" activeCell="E9" sqref="E9"/>
      <pageMargins left="0.7" right="0.7" top="0.75" bottom="0.75" header="0.3" footer="0.3"/>
      <pageSetup paperSize="9" scale="65" orientation="landscape"/>
    </customSheetView>
    <customSheetView guid="{4B160FCE-E4E1-4C5F-A95A-098B4092602F}" scale="80" showPageBreaks="1" showGridLines="0" showRowCol="0" fitToPage="1" printArea="1" view="pageBreakPreview">
      <pane ySplit="7" topLeftCell="A8" activePane="bottomLeft" state="frozenSplit"/>
      <selection pane="bottomLeft" activeCell="E9" sqref="E9"/>
      <pageMargins left="0.7" right="0.7" top="0.75" bottom="0.75" header="0.3" footer="0.3"/>
      <pageSetup paperSize="9" scale="65" orientation="landscape"/>
    </customSheetView>
    <customSheetView guid="{F1DD1301-AC38-417E-9FDD-EF4BAF952014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5" orientation="landscape"/>
    </customSheetView>
    <customSheetView guid="{CBDFD7FD-13DC-4516-894B-851351BA6AB9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6" orientation="landscape"/>
    </customSheetView>
    <customSheetView guid="{97539152-52C8-4DC4-9652-C2441287C382}" scale="80" showPageBreaks="1" showGridLines="0" showRowCol="0" fitToPage="1" printArea="1" view="pageBreakPreview">
      <pane ySplit="7" topLeftCell="A8" activePane="bottomLeft" state="frozenSplit"/>
      <selection pane="bottomLeft" activeCell="D23" sqref="D23"/>
      <pageMargins left="0.7" right="0.7" top="0.75" bottom="0.75" header="0.3" footer="0.3"/>
      <pageSetup paperSize="9" scale="66" orientation="landscape"/>
    </customSheetView>
    <customSheetView guid="{625D5130-06C8-4D06-A975-ABA68D083B42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4" orientation="landscape"/>
    </customSheetView>
    <customSheetView guid="{D38BCB13-F037-4451-83C8-426AA15E9A23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2" orientation="landscape"/>
    </customSheetView>
    <customSheetView guid="{FFA4E102-9562-4603-B4B7-1AA791121E50}" scale="80" showPageBreaks="1" showGridLines="0" showRowCol="0" fitToPage="1" printArea="1" view="pageBreakPreview">
      <pane ySplit="7" topLeftCell="A26" activePane="bottomLeft" state="frozenSplit"/>
      <selection pane="bottomLeft" activeCell="E9" sqref="E9"/>
      <pageMargins left="0.7" right="0.7" top="0.75" bottom="0.75" header="0.3" footer="0.3"/>
      <pageSetup paperSize="9" scale="66" orientation="landscape"/>
    </customSheetView>
    <customSheetView guid="{26F4FC40-0203-4AB2-999C-B727B44DE180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5" orientation="landscape"/>
    </customSheetView>
    <customSheetView guid="{C2BD8B16-66E1-415D-BFAF-8EC20656B471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A33059F9-880A-48B3-B760-652DEE2C0F24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237F4384-CDB9-4F0B-B39B-8D9D4FE9822F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98415BE6-01A1-4743-8C25-780D87EBA836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2" orientation="landscape"/>
    </customSheetView>
    <customSheetView guid="{F6E435B2-B188-488F-8598-AFC48570180D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4DDE8A91-C6DD-44C1-92EF-AB0B970F1E28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8BDCE61A-B3F6-4F3F-A672-61D8A85D1956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  <customSheetView guid="{81AC8332-CC6D-4DF7-A113-DAE8234E2D58}" scale="80" showPageBreaks="1" showGridLines="0" showRowCol="0" fitToPage="1" printArea="1" view="pageBreakPreview">
      <pane ySplit="7" topLeftCell="A8" activePane="bottomLeft" state="frozenSplit"/>
      <selection pane="bottomLeft" activeCell="E52" sqref="E52"/>
      <pageMargins left="0.7" right="0.7" top="0.75" bottom="0.75" header="0.3" footer="0.3"/>
      <pageSetup paperSize="9" scale="66" orientation="landscape"/>
    </customSheetView>
  </customSheetViews>
  <mergeCells count="3">
    <mergeCell ref="E3:I4"/>
    <mergeCell ref="C6:D6"/>
    <mergeCell ref="C7:D7"/>
  </mergeCells>
  <pageMargins left="0.28999999999999998" right="0" top="0.55000000000000004" bottom="0" header="0" footer="0"/>
  <pageSetup paperSize="9" scale="67" orientation="landscape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1" tint="0.499984740745262"/>
  </sheetPr>
  <dimension ref="A1:M23"/>
  <sheetViews>
    <sheetView showGridLines="0" zoomScale="80" zoomScaleNormal="80" zoomScalePageLayoutView="80" workbookViewId="0">
      <pane ySplit="1" topLeftCell="A2" activePane="bottomLeft" state="frozen"/>
      <selection pane="bottomLeft" activeCell="G16" sqref="G16"/>
    </sheetView>
  </sheetViews>
  <sheetFormatPr defaultColWidth="9.42578125" defaultRowHeight="19.899999999999999" customHeight="1"/>
  <cols>
    <col min="1" max="1" width="20.42578125" style="114" customWidth="1"/>
    <col min="2" max="2" width="15.42578125" style="115" bestFit="1" customWidth="1"/>
    <col min="3" max="3" width="30.42578125" style="114" customWidth="1"/>
    <col min="4" max="4" width="12.42578125" style="114" customWidth="1"/>
    <col min="5" max="5" width="16.42578125" style="114" customWidth="1"/>
    <col min="6" max="6" width="22.42578125" style="114" customWidth="1"/>
    <col min="7" max="7" width="14.42578125" style="114" customWidth="1"/>
    <col min="8" max="8" width="24.42578125" style="141" customWidth="1"/>
    <col min="9" max="9" width="18" style="141" bestFit="1" customWidth="1"/>
    <col min="10" max="10" width="28.42578125" style="141" customWidth="1"/>
    <col min="11" max="11" width="12.42578125" style="141" customWidth="1"/>
    <col min="12" max="12" width="24.42578125" style="142" customWidth="1"/>
    <col min="13" max="13" width="24.42578125" style="143" customWidth="1"/>
    <col min="14" max="16384" width="9.42578125" style="114"/>
  </cols>
  <sheetData>
    <row r="1" spans="1:13" s="113" customFormat="1" ht="19.899999999999999" customHeight="1">
      <c r="A1" s="113" t="s">
        <v>126</v>
      </c>
      <c r="B1" s="123" t="s">
        <v>106</v>
      </c>
      <c r="C1" s="113" t="s">
        <v>107</v>
      </c>
      <c r="D1" s="113" t="s">
        <v>135</v>
      </c>
      <c r="E1" s="113" t="s">
        <v>136</v>
      </c>
      <c r="F1" s="113" t="s">
        <v>137</v>
      </c>
      <c r="G1" s="113" t="s">
        <v>152</v>
      </c>
      <c r="H1" s="113" t="s">
        <v>172</v>
      </c>
      <c r="I1" s="113" t="s">
        <v>236</v>
      </c>
      <c r="J1" s="113" t="s">
        <v>237</v>
      </c>
      <c r="K1" s="113" t="s">
        <v>238</v>
      </c>
      <c r="L1" s="122" t="s">
        <v>128</v>
      </c>
      <c r="M1" s="121" t="s">
        <v>127</v>
      </c>
    </row>
    <row r="2" spans="1:13" ht="19.899999999999999" customHeight="1">
      <c r="A2" s="114" t="s">
        <v>100</v>
      </c>
      <c r="B2" s="124" t="s">
        <v>108</v>
      </c>
      <c r="C2" s="114" t="s">
        <v>179</v>
      </c>
      <c r="D2" s="114" t="s">
        <v>104</v>
      </c>
      <c r="E2" s="114" t="s">
        <v>140</v>
      </c>
      <c r="F2" s="114" t="s">
        <v>143</v>
      </c>
      <c r="G2" s="114" t="s">
        <v>156</v>
      </c>
      <c r="H2" s="141" t="s">
        <v>173</v>
      </c>
      <c r="I2" s="141" t="s">
        <v>289</v>
      </c>
      <c r="J2" s="141" t="s">
        <v>203</v>
      </c>
      <c r="K2" s="141" t="s">
        <v>208</v>
      </c>
      <c r="L2" s="142" t="s">
        <v>232</v>
      </c>
      <c r="M2" s="143" t="s">
        <v>166</v>
      </c>
    </row>
    <row r="3" spans="1:13" ht="19.899999999999999" customHeight="1">
      <c r="A3" s="114" t="s">
        <v>227</v>
      </c>
      <c r="B3" s="124" t="s">
        <v>109</v>
      </c>
      <c r="C3" s="114" t="s">
        <v>180</v>
      </c>
      <c r="D3" s="114" t="s">
        <v>365</v>
      </c>
      <c r="E3" s="114" t="s">
        <v>141</v>
      </c>
      <c r="F3" s="114" t="s">
        <v>144</v>
      </c>
      <c r="G3" s="114" t="s">
        <v>155</v>
      </c>
      <c r="H3" s="141" t="s">
        <v>174</v>
      </c>
      <c r="I3" s="141" t="s">
        <v>204</v>
      </c>
      <c r="J3" s="141" t="s">
        <v>205</v>
      </c>
      <c r="K3" s="141" t="s">
        <v>239</v>
      </c>
      <c r="L3" s="142" t="s">
        <v>163</v>
      </c>
      <c r="M3" s="143" t="s">
        <v>228</v>
      </c>
    </row>
    <row r="4" spans="1:13" ht="19.899999999999999" customHeight="1">
      <c r="A4" s="114" t="s">
        <v>101</v>
      </c>
      <c r="B4" s="124" t="s">
        <v>110</v>
      </c>
      <c r="C4" s="114" t="s">
        <v>181</v>
      </c>
      <c r="D4" s="114" t="s">
        <v>138</v>
      </c>
      <c r="E4" s="114" t="s">
        <v>142</v>
      </c>
      <c r="F4" s="114" t="s">
        <v>289</v>
      </c>
      <c r="G4" s="114" t="s">
        <v>153</v>
      </c>
      <c r="H4" s="141" t="s">
        <v>175</v>
      </c>
      <c r="L4" s="142" t="s">
        <v>164</v>
      </c>
      <c r="M4" s="143" t="s">
        <v>169</v>
      </c>
    </row>
    <row r="5" spans="1:13" ht="19.899999999999999" customHeight="1">
      <c r="A5" s="114" t="s">
        <v>102</v>
      </c>
      <c r="B5" s="124" t="s">
        <v>111</v>
      </c>
      <c r="C5" s="114" t="s">
        <v>182</v>
      </c>
      <c r="D5" s="114" t="s">
        <v>139</v>
      </c>
      <c r="E5" s="114" t="s">
        <v>378</v>
      </c>
      <c r="G5" s="114" t="s">
        <v>154</v>
      </c>
      <c r="H5" s="141" t="s">
        <v>176</v>
      </c>
      <c r="L5" s="142" t="s">
        <v>80</v>
      </c>
      <c r="M5" s="143" t="s">
        <v>159</v>
      </c>
    </row>
    <row r="6" spans="1:13" ht="19.899999999999999" customHeight="1">
      <c r="A6" s="114" t="s">
        <v>103</v>
      </c>
      <c r="B6" s="124" t="s">
        <v>112</v>
      </c>
      <c r="C6" s="114" t="s">
        <v>183</v>
      </c>
      <c r="H6" s="141" t="s">
        <v>177</v>
      </c>
      <c r="L6" s="142" t="s">
        <v>808</v>
      </c>
      <c r="M6" s="143" t="s">
        <v>160</v>
      </c>
    </row>
    <row r="7" spans="1:13" ht="19.899999999999999" customHeight="1">
      <c r="A7" s="114" t="s">
        <v>123</v>
      </c>
      <c r="B7" s="124" t="s">
        <v>115</v>
      </c>
      <c r="C7" s="114" t="s">
        <v>184</v>
      </c>
      <c r="H7" s="141" t="s">
        <v>178</v>
      </c>
      <c r="M7" s="143" t="s">
        <v>168</v>
      </c>
    </row>
    <row r="8" spans="1:13" ht="19.899999999999999" customHeight="1">
      <c r="A8" s="114" t="s">
        <v>229</v>
      </c>
      <c r="B8" s="124" t="s">
        <v>18</v>
      </c>
      <c r="C8" s="114" t="s">
        <v>185</v>
      </c>
      <c r="M8" s="143" t="s">
        <v>161</v>
      </c>
    </row>
    <row r="9" spans="1:13" ht="19.899999999999999" customHeight="1">
      <c r="A9" s="114" t="s">
        <v>230</v>
      </c>
      <c r="B9" s="124" t="s">
        <v>116</v>
      </c>
      <c r="C9" s="114" t="s">
        <v>186</v>
      </c>
      <c r="M9" s="143" t="s">
        <v>165</v>
      </c>
    </row>
    <row r="10" spans="1:13" ht="19.899999999999999" customHeight="1">
      <c r="A10" s="114" t="s">
        <v>124</v>
      </c>
      <c r="B10" s="124" t="s">
        <v>117</v>
      </c>
      <c r="C10" s="114" t="s">
        <v>187</v>
      </c>
      <c r="M10" s="143" t="s">
        <v>167</v>
      </c>
    </row>
    <row r="11" spans="1:13" ht="19.899999999999999" customHeight="1">
      <c r="A11" s="114" t="s">
        <v>125</v>
      </c>
      <c r="B11" s="124" t="s">
        <v>118</v>
      </c>
      <c r="C11" s="114" t="s">
        <v>188</v>
      </c>
      <c r="M11" s="143" t="s">
        <v>162</v>
      </c>
    </row>
    <row r="12" spans="1:13" ht="19.899999999999999" customHeight="1">
      <c r="A12" s="114" t="s">
        <v>231</v>
      </c>
      <c r="B12" s="124" t="s">
        <v>119</v>
      </c>
      <c r="C12" s="114" t="s">
        <v>189</v>
      </c>
      <c r="M12" s="143" t="s">
        <v>754</v>
      </c>
    </row>
    <row r="13" spans="1:13" ht="19.899999999999999" customHeight="1">
      <c r="A13" s="114" t="s">
        <v>377</v>
      </c>
      <c r="B13" s="124" t="s">
        <v>120</v>
      </c>
      <c r="C13" s="114" t="s">
        <v>190</v>
      </c>
      <c r="M13" s="143" t="s">
        <v>287</v>
      </c>
    </row>
    <row r="14" spans="1:13" ht="19.899999999999999" customHeight="1">
      <c r="A14" s="114" t="s">
        <v>381</v>
      </c>
      <c r="B14" s="124" t="s">
        <v>121</v>
      </c>
      <c r="C14" s="114" t="s">
        <v>191</v>
      </c>
      <c r="M14" s="143" t="s">
        <v>290</v>
      </c>
    </row>
    <row r="15" spans="1:13" ht="19.899999999999999" customHeight="1">
      <c r="A15" s="114" t="s">
        <v>809</v>
      </c>
      <c r="B15" s="124" t="s">
        <v>113</v>
      </c>
      <c r="C15" s="114" t="s">
        <v>192</v>
      </c>
      <c r="M15" s="143" t="s">
        <v>362</v>
      </c>
    </row>
    <row r="16" spans="1:13" ht="19.899999999999999" customHeight="1">
      <c r="A16" s="114" t="s">
        <v>139</v>
      </c>
      <c r="B16" s="124" t="s">
        <v>114</v>
      </c>
      <c r="C16" s="114" t="s">
        <v>193</v>
      </c>
      <c r="M16" s="143" t="s">
        <v>367</v>
      </c>
    </row>
    <row r="17" spans="2:13" ht="19.899999999999999" customHeight="1">
      <c r="B17" s="124" t="s">
        <v>122</v>
      </c>
      <c r="C17" s="114" t="s">
        <v>194</v>
      </c>
    </row>
    <row r="18" spans="2:13" ht="19.899999999999999" customHeight="1">
      <c r="B18" s="124" t="s">
        <v>374</v>
      </c>
      <c r="C18" s="114" t="s">
        <v>195</v>
      </c>
      <c r="M18" s="143" t="s">
        <v>368</v>
      </c>
    </row>
    <row r="19" spans="2:13" ht="19.899999999999999" customHeight="1">
      <c r="B19" s="124" t="s">
        <v>369</v>
      </c>
      <c r="C19" s="114" t="s">
        <v>196</v>
      </c>
      <c r="M19" s="143" t="s">
        <v>372</v>
      </c>
    </row>
    <row r="20" spans="2:13" ht="19.899999999999999" customHeight="1">
      <c r="B20" s="124" t="s">
        <v>375</v>
      </c>
      <c r="C20" s="114" t="s">
        <v>197</v>
      </c>
      <c r="M20" s="143" t="s">
        <v>373</v>
      </c>
    </row>
    <row r="21" spans="2:13" ht="19.899999999999999" customHeight="1">
      <c r="B21" s="124" t="s">
        <v>370</v>
      </c>
      <c r="C21" s="114" t="s">
        <v>198</v>
      </c>
      <c r="M21" s="143" t="s">
        <v>379</v>
      </c>
    </row>
    <row r="22" spans="2:13" ht="19.899999999999999" customHeight="1">
      <c r="B22" s="124" t="s">
        <v>376</v>
      </c>
      <c r="C22" s="114" t="s">
        <v>199</v>
      </c>
    </row>
    <row r="23" spans="2:13" ht="19.899999999999999" customHeight="1">
      <c r="B23" s="124" t="s">
        <v>360</v>
      </c>
      <c r="C23" s="114" t="s">
        <v>200</v>
      </c>
    </row>
  </sheetData>
  <customSheetViews>
    <customSheetView guid="{725C6403-CA7F-4F2C-9A0D-0A8F381A2CAD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78AF171D-678D-4785-AAA3-E13B4851B7AE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A3E2F7B2-EDD4-496B-AB8C-6D4480FC978E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92E2A3D6-6865-4A95-8F02-7FDA997293A9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D2673080-F890-47E1-8D19-24DC44CD3D17}" scale="80" showGridLines="0" topLeftCell="E1">
      <pane ySplit="1" topLeftCell="A2" activePane="bottomLeft" state="frozenSplit"/>
      <selection pane="bottomLeft" activeCell="M24" sqref="M24"/>
      <pageMargins left="0.7" right="0.7" top="0.75" bottom="0.75" header="0.3" footer="0.3"/>
      <pageSetup paperSize="9" orientation="portrait" verticalDpi="0"/>
    </customSheetView>
    <customSheetView guid="{3C44DCB8-AE21-460C-BE83-16ED4ECEF164}" scale="80" showGridLines="0" topLeftCell="E1">
      <pane ySplit="1" topLeftCell="A2" activePane="bottomLeft" state="frozenSplit"/>
      <selection pane="bottomLeft" activeCell="M24" sqref="M24"/>
      <pageMargins left="0.7" right="0.7" top="0.75" bottom="0.75" header="0.3" footer="0.3"/>
      <pageSetup paperSize="9" orientation="portrait" verticalDpi="0"/>
    </customSheetView>
    <customSheetView guid="{C8668995-1005-4688-A6EB-A2F3AE31A309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A67533C0-DC49-40DE-AEF5-5C17FB95027C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6E45CC1C-F2B4-4E71-B4D9-E4A83D340A41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5FEB8780-83A5-46AA-A5CB-9F9A479E52D7}" scale="80" showGridLines="0">
      <pane ySplit="1" topLeftCell="A2" activePane="bottomLeft" state="frozenSplit"/>
      <selection pane="bottomLeft" activeCell="M25" sqref="M25"/>
      <pageMargins left="0.7" right="0.7" top="0.75" bottom="0.75" header="0.3" footer="0.3"/>
      <pageSetup paperSize="9" orientation="portrait" verticalDpi="0"/>
    </customSheetView>
    <customSheetView guid="{C6EC2A9F-4D28-4B13-A181-43471E5FA580}" scale="80" showGridLines="0">
      <pane ySplit="1" topLeftCell="A2" activePane="bottomLeft" state="frozenSplit"/>
      <selection pane="bottomLeft" activeCell="M25" sqref="M25"/>
      <pageMargins left="0.7" right="0.7" top="0.75" bottom="0.75" header="0.3" footer="0.3"/>
      <pageSetup paperSize="9" orientation="portrait" verticalDpi="0"/>
    </customSheetView>
    <customSheetView guid="{A8B30D1E-7EC0-4837-AB67-E8ADA658B937}" scale="80" showGridLines="0">
      <pane ySplit="1" topLeftCell="A2" activePane="bottomLeft" state="frozenSplit"/>
      <selection pane="bottomLeft" activeCell="M25" sqref="M25"/>
      <pageMargins left="0.7" right="0.7" top="0.75" bottom="0.75" header="0.3" footer="0.3"/>
      <pageSetup paperSize="9" orientation="portrait" verticalDpi="0"/>
    </customSheetView>
    <customSheetView guid="{085F2103-108A-483C-AAD7-AC1049A79BF0}" scale="80" showGridLines="0">
      <pane ySplit="1" topLeftCell="A2" activePane="bottomLeft" state="frozenSplit"/>
      <selection pane="bottomLeft" activeCell="I3" sqref="I3"/>
      <pageMargins left="0.7" right="0.7" top="0.75" bottom="0.75" header="0.3" footer="0.3"/>
      <pageSetup paperSize="9" orientation="portrait" verticalDpi="0"/>
    </customSheetView>
    <customSheetView guid="{AA76D42C-FF81-4012-9724-37BEA4274EAD}" scale="80" showGridLines="0">
      <pane ySplit="1" topLeftCell="A2" activePane="bottomLeft" state="frozenSplit"/>
      <selection pane="bottomLeft" activeCell="M19" sqref="M19"/>
      <pageMargins left="0.7" right="0.7" top="0.75" bottom="0.75" header="0.3" footer="0.3"/>
      <pageSetup paperSize="0" orientation="portrait" horizontalDpi="0" verticalDpi="0" copies="0"/>
    </customSheetView>
    <customSheetView guid="{12A57108-64EE-4143-BE7B-0E614C9693B7}" scale="80" showGridLines="0" topLeftCell="B1">
      <pane ySplit="1" topLeftCell="A2" activePane="bottomLeft" state="frozenSplit"/>
      <selection pane="bottomLeft" activeCell="J32" sqref="J32"/>
      <pageMargins left="0.7" right="0.7" top="0.75" bottom="0.75" header="0.3" footer="0.3"/>
      <pageSetup paperSize="9" orientation="portrait" verticalDpi="0"/>
    </customSheetView>
    <customSheetView guid="{14DE6746-EFE9-4648-B824-D04A77CB20AF}" scale="70" showGridLines="0">
      <pane ySplit="1" topLeftCell="A2" activePane="bottomLeft" state="frozenSplit"/>
      <selection pane="bottomLeft" activeCell="I33" sqref="I33"/>
      <pageMargins left="0.7" right="0.7" top="0.75" bottom="0.75" header="0.3" footer="0.3"/>
      <pageSetup paperSize="9" orientation="portrait" verticalDpi="0"/>
    </customSheetView>
    <customSheetView guid="{571287FD-093D-4EDC-8BD3-D98642EB99C3}" scale="80" showGridLines="0" topLeftCell="C1">
      <selection activeCell="M14" sqref="M14"/>
      <pageMargins left="0.7" right="0.7" top="0.75" bottom="0.75" header="0.3" footer="0.3"/>
      <pageSetup paperSize="9" orientation="portrait" verticalDpi="0"/>
    </customSheetView>
    <customSheetView guid="{9D751A57-40DA-49B8-9508-C6D7ED5E68F3}" scale="80" showGridLines="0">
      <pane ySplit="1" topLeftCell="A2" activePane="bottomLeft" state="frozenSplit"/>
      <selection pane="bottomLeft" activeCell="I3" sqref="I3"/>
      <pageMargins left="0.7" right="0.7" top="0.75" bottom="0.75" header="0.3" footer="0.3"/>
      <pageSetup paperSize="9" orientation="portrait" verticalDpi="0"/>
    </customSheetView>
    <customSheetView guid="{E7A00FAE-CEE3-4432-99AD-61BFF44ED7B2}" scale="80" showGridLines="0" topLeftCell="B1">
      <pane ySplit="1" topLeftCell="A2" activePane="bottomLeft" state="frozenSplit"/>
      <selection pane="bottomLeft" activeCell="H19" sqref="H19"/>
      <pageMargins left="0.7" right="0.7" top="0.75" bottom="0.75" header="0.3" footer="0.3"/>
      <pageSetup paperSize="9" orientation="portrait" verticalDpi="0"/>
    </customSheetView>
    <customSheetView guid="{4B160FCE-E4E1-4C5F-A95A-098B4092602F}" scale="80" showGridLines="0" topLeftCell="B1">
      <pane ySplit="1" topLeftCell="A2" activePane="bottomLeft" state="frozenSplit"/>
      <selection pane="bottomLeft" activeCell="H19" sqref="H19"/>
      <pageMargins left="0.7" right="0.7" top="0.75" bottom="0.75" header="0.3" footer="0.3"/>
      <pageSetup paperSize="9" orientation="portrait" verticalDpi="0"/>
    </customSheetView>
    <customSheetView guid="{F1DD1301-AC38-417E-9FDD-EF4BAF952014}" scale="80" showGridLines="0" topLeftCell="B1">
      <pane ySplit="1" topLeftCell="A2" activePane="bottomLeft" state="frozenSplit"/>
      <selection pane="bottomLeft" activeCell="J32" sqref="J32"/>
      <pageMargins left="0.7" right="0.7" top="0.75" bottom="0.75" header="0.3" footer="0.3"/>
      <pageSetup paperSize="9" orientation="portrait" verticalDpi="0"/>
    </customSheetView>
    <customSheetView guid="{CBDFD7FD-13DC-4516-894B-851351BA6AB9}" scale="80" showGridLines="0" topLeftCell="B1">
      <pane ySplit="1" topLeftCell="A2" activePane="bottomLeft" state="frozenSplit"/>
      <selection pane="bottomLeft" activeCell="J32" sqref="J32"/>
      <pageMargins left="0.7" right="0.7" top="0.75" bottom="0.75" header="0.3" footer="0.3"/>
      <pageSetup paperSize="9" orientation="portrait" verticalDpi="0"/>
    </customSheetView>
    <customSheetView guid="{97539152-52C8-4DC4-9652-C2441287C382}" scale="80" showGridLines="0">
      <pane ySplit="1" topLeftCell="A2" activePane="bottomLeft" state="frozenSplit"/>
      <selection pane="bottomLeft" activeCell="M19" sqref="M19"/>
      <pageMargins left="0.7" right="0.7" top="0.75" bottom="0.75" header="0.3" footer="0.3"/>
      <pageSetup paperSize="9" orientation="portrait" verticalDpi="0"/>
    </customSheetView>
    <customSheetView guid="{625D5130-06C8-4D06-A975-ABA68D083B42}" scale="80" showGridLines="0">
      <pane ySplit="1" topLeftCell="A2" activePane="bottomLeft" state="frozenSplit"/>
      <selection pane="bottomLeft" activeCell="F5" sqref="F5"/>
      <pageMargins left="0.7" right="0.7" top="0.75" bottom="0.75" header="0.3" footer="0.3"/>
      <pageSetup paperSize="9" orientation="portrait" verticalDpi="0"/>
    </customSheetView>
    <customSheetView guid="{D38BCB13-F037-4451-83C8-426AA15E9A23}" scale="80" showGridLines="0">
      <pane ySplit="1" topLeftCell="A2" activePane="bottomLeft" state="frozenSplit"/>
      <selection pane="bottomLeft" activeCell="G15" sqref="G15"/>
      <pageMargins left="0.7" right="0.7" top="0.75" bottom="0.75" header="0.3" footer="0.3"/>
      <pageSetup paperSize="9" orientation="portrait" verticalDpi="0"/>
    </customSheetView>
    <customSheetView guid="{FFA4E102-9562-4603-B4B7-1AA791121E50}" scale="80" showGridLines="0">
      <pane ySplit="1" topLeftCell="A2" activePane="bottomLeft" state="frozenSplit"/>
      <selection pane="bottomLeft" activeCell="M25" sqref="M25"/>
      <pageMargins left="0.7" right="0.7" top="0.75" bottom="0.75" header="0.3" footer="0.3"/>
      <pageSetup paperSize="9" orientation="portrait" verticalDpi="0"/>
    </customSheetView>
    <customSheetView guid="{26F4FC40-0203-4AB2-999C-B727B44DE180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C2BD8B16-66E1-415D-BFAF-8EC20656B471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A33059F9-880A-48B3-B760-652DEE2C0F24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237F4384-CDB9-4F0B-B39B-8D9D4FE9822F}" scale="80" showGridLines="0" topLeftCell="E1">
      <pane ySplit="1" topLeftCell="A2" activePane="bottomLeft" state="frozenSplit"/>
      <selection pane="bottomLeft" activeCell="E5" sqref="E5"/>
      <pageMargins left="0.7" right="0.7" top="0.75" bottom="0.75" header="0.3" footer="0.3"/>
      <pageSetup paperSize="9" orientation="portrait" verticalDpi="0"/>
    </customSheetView>
    <customSheetView guid="{98415BE6-01A1-4743-8C25-780D87EBA836}" scale="80" showGridLines="0" topLeftCell="E1">
      <pane ySplit="1" topLeftCell="A2" activePane="bottomLeft" state="frozenSplit"/>
      <selection pane="bottomLeft" activeCell="M24" sqref="M24"/>
      <pageMargins left="0.7" right="0.7" top="0.75" bottom="0.75" header="0.3" footer="0.3"/>
      <pageSetup paperSize="9" orientation="portrait" verticalDpi="0"/>
    </customSheetView>
    <customSheetView guid="{F6E435B2-B188-488F-8598-AFC48570180D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4DDE8A91-C6DD-44C1-92EF-AB0B970F1E28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8BDCE61A-B3F6-4F3F-A672-61D8A85D1956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  <customSheetView guid="{81AC8332-CC6D-4DF7-A113-DAE8234E2D58}" scale="80" showGridLines="0">
      <pane ySplit="1" topLeftCell="A2" activePane="bottomLeft" state="frozenSplit"/>
      <selection pane="bottomLeft" activeCell="A15" sqref="A15"/>
      <pageMargins left="0.7" right="0.7" top="0.75" bottom="0.75" header="0.3" footer="0.3"/>
      <pageSetup paperSize="9" orientation="portrait" verticalDpi="0"/>
    </customSheetView>
  </customSheetViews>
  <phoneticPr fontId="89" type="noConversion"/>
  <pageMargins left="0.7" right="0.7" top="0.75" bottom="0.75" header="0.3" footer="0.3"/>
  <pageSetup paperSize="9" orientation="portrait" verticalDpi="0"/>
  <extLst>
    <ext xmlns:mx="http://schemas.microsoft.com/office/mac/excel/2008/main" uri="{64002731-A6B0-56B0-2670-7721B7C09600}">
      <mx:PLV Mode="0" OnePage="0" WScale="0"/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756CC52-3907-4D86-82C2-F21A4FE0847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F-EN-12  REV.05</vt:lpstr>
      <vt:lpstr>JOB ORDER</vt:lpstr>
      <vt:lpstr>FlowChart</vt:lpstr>
      <vt:lpstr>DATA</vt:lpstr>
      <vt:lpstr>ConvertMinute</vt:lpstr>
      <vt:lpstr>JobSelection</vt:lpstr>
      <vt:lpstr>'F-EN-12  REV.05'!Print_Area</vt:lpstr>
      <vt:lpstr>FlowChart!Print_Area</vt:lpstr>
      <vt:lpstr>'JOB ORDER'!Print_Area</vt:lpstr>
      <vt:lpstr>'F-EN-12  REV.05'!Print_Titles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Namfon</dc:creator>
  <cp:lastModifiedBy>Toppan Center</cp:lastModifiedBy>
  <cp:lastPrinted>2026-05-23T01:35:30Z</cp:lastPrinted>
  <dcterms:created xsi:type="dcterms:W3CDTF">2006-09-16T00:00:00Z</dcterms:created>
  <dcterms:modified xsi:type="dcterms:W3CDTF">2026-07-09T14:24:37Z</dcterms:modified>
</cp:coreProperties>
</file>