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N:\2. Active document\04 Form(FM)\EN\"/>
    </mc:Choice>
  </mc:AlternateContent>
  <xr:revisionPtr revIDLastSave="0" documentId="13_ncr:1_{A939084B-5F8A-41E4-93FC-2A95D46D92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RM 1" sheetId="5" r:id="rId1"/>
    <sheet name="FORM 2" sheetId="1" r:id="rId2"/>
    <sheet name="FORM 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2" i="5" l="1"/>
  <c r="U122" i="5" s="1" a="1"/>
  <c r="U122" i="5" s="1"/>
  <c r="W122" i="5" s="1"/>
  <c r="T121" i="5"/>
  <c r="U121" i="5" s="1" a="1"/>
  <c r="U121" i="5" s="1"/>
  <c r="W121" i="5" s="1"/>
  <c r="T120" i="5"/>
  <c r="U120" i="5" s="1" a="1"/>
  <c r="U120" i="5" s="1"/>
  <c r="W120" i="5" s="1"/>
  <c r="T119" i="5"/>
  <c r="U119" i="5" s="1" a="1"/>
  <c r="U119" i="5" s="1"/>
  <c r="W119" i="5" s="1"/>
  <c r="T118" i="5"/>
  <c r="U118" i="5" s="1" a="1"/>
  <c r="U118" i="5" s="1"/>
  <c r="W118" i="5" s="1"/>
  <c r="T117" i="5"/>
  <c r="U117" i="5" s="1" a="1"/>
  <c r="U117" i="5" s="1"/>
  <c r="W117" i="5" s="1"/>
  <c r="T116" i="5"/>
  <c r="U116" i="5" s="1" a="1"/>
  <c r="U116" i="5" s="1"/>
  <c r="W116" i="5" s="1"/>
  <c r="T115" i="5"/>
  <c r="U115" i="5" s="1" a="1"/>
  <c r="U115" i="5" s="1"/>
  <c r="W115" i="5" s="1"/>
  <c r="T114" i="5"/>
  <c r="U114" i="5" s="1" a="1"/>
  <c r="U114" i="5" s="1"/>
  <c r="W114" i="5" s="1"/>
  <c r="T113" i="5"/>
  <c r="U113" i="5" s="1" a="1"/>
  <c r="U113" i="5" s="1"/>
  <c r="W113" i="5" s="1"/>
  <c r="T112" i="5"/>
  <c r="U112" i="5" s="1" a="1"/>
  <c r="U112" i="5" s="1"/>
  <c r="W112" i="5" s="1"/>
  <c r="T111" i="5"/>
  <c r="U111" i="5" s="1" a="1"/>
  <c r="U111" i="5" s="1"/>
  <c r="W111" i="5" s="1"/>
  <c r="T110" i="5"/>
  <c r="U110" i="5" s="1" a="1"/>
  <c r="U110" i="5" s="1"/>
  <c r="W110" i="5" s="1"/>
  <c r="T109" i="5"/>
  <c r="U109" i="5" s="1" a="1"/>
  <c r="U109" i="5" s="1"/>
  <c r="W109" i="5" s="1"/>
  <c r="T108" i="5"/>
  <c r="U108" i="5" s="1" a="1"/>
  <c r="U108" i="5" s="1"/>
  <c r="W108" i="5" s="1"/>
  <c r="T107" i="5"/>
  <c r="U107" i="5" s="1" a="1"/>
  <c r="U107" i="5" s="1"/>
  <c r="W107" i="5" s="1"/>
  <c r="T106" i="5"/>
  <c r="U106" i="5" s="1" a="1"/>
  <c r="U106" i="5" s="1"/>
  <c r="W106" i="5" s="1"/>
  <c r="T105" i="5"/>
  <c r="U105" i="5" s="1" a="1"/>
  <c r="U105" i="5" s="1"/>
  <c r="W105" i="5" s="1"/>
  <c r="T104" i="5"/>
  <c r="U104" i="5" s="1" a="1"/>
  <c r="U104" i="5" s="1"/>
  <c r="W104" i="5" s="1"/>
  <c r="T103" i="5"/>
  <c r="U103" i="5" s="1" a="1"/>
  <c r="U103" i="5" s="1"/>
  <c r="W103" i="5" s="1"/>
  <c r="T102" i="5"/>
  <c r="U102" i="5" s="1" a="1"/>
  <c r="U102" i="5" s="1"/>
  <c r="W102" i="5" s="1"/>
  <c r="T101" i="5"/>
  <c r="U101" i="5" s="1" a="1"/>
  <c r="U101" i="5" s="1"/>
  <c r="W101" i="5" s="1"/>
  <c r="T100" i="5"/>
  <c r="U100" i="5" s="1" a="1"/>
  <c r="U100" i="5" s="1"/>
  <c r="W100" i="5" s="1"/>
  <c r="T99" i="5"/>
  <c r="U99" i="5" s="1" a="1"/>
  <c r="U99" i="5" s="1"/>
  <c r="W99" i="5" s="1"/>
  <c r="T98" i="5"/>
  <c r="U98" i="5" s="1" a="1"/>
  <c r="U98" i="5" s="1"/>
  <c r="W98" i="5" s="1"/>
  <c r="T97" i="5"/>
  <c r="U97" i="5" s="1" a="1"/>
  <c r="U97" i="5" s="1"/>
  <c r="W97" i="5" s="1"/>
  <c r="T96" i="5"/>
  <c r="U96" i="5" s="1" a="1"/>
  <c r="U96" i="5" s="1"/>
  <c r="W96" i="5" s="1"/>
  <c r="T95" i="5"/>
  <c r="U95" i="5" s="1" a="1"/>
  <c r="U95" i="5" s="1"/>
  <c r="W95" i="5" s="1"/>
  <c r="T88" i="5"/>
  <c r="U88" i="5" s="1" a="1"/>
  <c r="U88" i="5" s="1"/>
  <c r="W88" i="5" s="1"/>
  <c r="T87" i="5"/>
  <c r="U87" i="5" s="1" a="1"/>
  <c r="U87" i="5" s="1"/>
  <c r="W87" i="5" s="1"/>
  <c r="T86" i="5"/>
  <c r="U86" i="5" s="1" a="1"/>
  <c r="U86" i="5" s="1"/>
  <c r="W86" i="5" s="1"/>
  <c r="T85" i="5"/>
  <c r="U85" i="5" s="1" a="1"/>
  <c r="U85" i="5" s="1"/>
  <c r="W85" i="5" s="1"/>
  <c r="T84" i="5"/>
  <c r="U84" i="5" s="1" a="1"/>
  <c r="U84" i="5" s="1"/>
  <c r="W84" i="5" s="1"/>
  <c r="T83" i="5"/>
  <c r="U83" i="5" s="1" a="1"/>
  <c r="U83" i="5" s="1"/>
  <c r="W83" i="5" s="1"/>
  <c r="T94" i="5"/>
  <c r="U94" i="5" s="1" a="1"/>
  <c r="U94" i="5" s="1"/>
  <c r="W94" i="5" s="1"/>
  <c r="T93" i="5"/>
  <c r="U93" i="5" s="1" a="1"/>
  <c r="U93" i="5" s="1"/>
  <c r="W93" i="5" s="1"/>
  <c r="T92" i="5"/>
  <c r="U92" i="5" s="1" a="1"/>
  <c r="U92" i="5" s="1"/>
  <c r="W92" i="5" s="1"/>
  <c r="T91" i="5"/>
  <c r="U91" i="5" s="1" a="1"/>
  <c r="U91" i="5" s="1"/>
  <c r="W91" i="5" s="1"/>
  <c r="T90" i="5"/>
  <c r="U90" i="5" s="1" a="1"/>
  <c r="U90" i="5" s="1"/>
  <c r="W90" i="5" s="1"/>
  <c r="T89" i="5"/>
  <c r="U89" i="5" s="1" a="1"/>
  <c r="U89" i="5" s="1"/>
  <c r="W89" i="5" s="1"/>
  <c r="T82" i="5"/>
  <c r="U82" i="5" s="1" a="1"/>
  <c r="U82" i="5" s="1"/>
  <c r="W82" i="5" s="1"/>
  <c r="T81" i="5"/>
  <c r="U81" i="5" s="1" a="1"/>
  <c r="U81" i="5" s="1"/>
  <c r="W81" i="5" s="1"/>
  <c r="T80" i="5"/>
  <c r="U80" i="5" s="1" a="1"/>
  <c r="U80" i="5" s="1"/>
  <c r="W80" i="5" s="1"/>
  <c r="T79" i="5"/>
  <c r="U79" i="5" s="1" a="1"/>
  <c r="U79" i="5" s="1"/>
  <c r="W79" i="5" s="1"/>
  <c r="T78" i="5"/>
  <c r="U78" i="5" s="1" a="1"/>
  <c r="U78" i="5" s="1"/>
  <c r="W78" i="5" s="1"/>
  <c r="T77" i="5"/>
  <c r="U77" i="5" s="1" a="1"/>
  <c r="U77" i="5" s="1"/>
  <c r="W77" i="5" s="1"/>
  <c r="T76" i="5"/>
  <c r="U76" i="5" s="1" a="1"/>
  <c r="U76" i="5" s="1"/>
  <c r="W76" i="5" s="1"/>
  <c r="T75" i="5"/>
  <c r="U75" i="5" s="1" a="1"/>
  <c r="U75" i="5" s="1"/>
  <c r="W75" i="5" s="1"/>
  <c r="T74" i="5"/>
  <c r="U74" i="5" s="1" a="1"/>
  <c r="U74" i="5" s="1"/>
  <c r="W74" i="5" s="1"/>
  <c r="T73" i="5"/>
  <c r="U73" i="5" s="1" a="1"/>
  <c r="U73" i="5" s="1"/>
  <c r="W73" i="5" s="1"/>
  <c r="T72" i="5"/>
  <c r="U72" i="5" s="1" a="1"/>
  <c r="U72" i="5" s="1"/>
  <c r="W72" i="5" s="1"/>
  <c r="T71" i="5"/>
  <c r="U71" i="5" s="1" a="1"/>
  <c r="U71" i="5" s="1"/>
  <c r="W71" i="5" s="1"/>
  <c r="T70" i="5"/>
  <c r="U70" i="5" s="1"/>
  <c r="W70" i="5" s="1"/>
  <c r="T69" i="5"/>
  <c r="U69" i="5" s="1" a="1"/>
  <c r="U69" i="5" s="1"/>
  <c r="W69" i="5" s="1"/>
  <c r="T68" i="5"/>
  <c r="U68" i="5" s="1" a="1"/>
  <c r="U68" i="5" s="1"/>
  <c r="W68" i="5" s="1"/>
  <c r="T67" i="5"/>
  <c r="U67" i="5" s="1" a="1"/>
  <c r="U67" i="5" s="1"/>
  <c r="W67" i="5" s="1"/>
  <c r="T66" i="5"/>
  <c r="U66" i="5" s="1" a="1"/>
  <c r="U66" i="5" s="1"/>
  <c r="W66" i="5" s="1"/>
  <c r="T65" i="5"/>
  <c r="U65" i="5" s="1" a="1"/>
  <c r="U65" i="5" s="1"/>
  <c r="W65" i="5" s="1"/>
  <c r="T64" i="5"/>
  <c r="U64" i="5" s="1" a="1"/>
  <c r="U64" i="5" s="1"/>
  <c r="W64" i="5" s="1"/>
  <c r="T63" i="5"/>
  <c r="U63" i="5" s="1" a="1"/>
  <c r="U63" i="5" s="1"/>
  <c r="W63" i="5" s="1"/>
  <c r="T62" i="5"/>
  <c r="U62" i="5" s="1" a="1"/>
  <c r="U62" i="5" s="1"/>
  <c r="W62" i="5" s="1"/>
  <c r="T61" i="5"/>
  <c r="U61" i="5" s="1" a="1"/>
  <c r="U61" i="5" s="1"/>
  <c r="W61" i="5" s="1"/>
  <c r="T60" i="5"/>
  <c r="U60" i="5" s="1" a="1"/>
  <c r="U60" i="5" s="1"/>
  <c r="W60" i="5" s="1"/>
  <c r="T59" i="5"/>
  <c r="U59" i="5" s="1" a="1"/>
  <c r="U59" i="5" s="1"/>
  <c r="W59" i="5" s="1"/>
  <c r="T58" i="5"/>
  <c r="U58" i="5" s="1" a="1"/>
  <c r="U58" i="5" s="1"/>
  <c r="W58" i="5" s="1"/>
  <c r="T57" i="5"/>
  <c r="U57" i="5" s="1" a="1"/>
  <c r="U57" i="5" s="1"/>
  <c r="W57" i="5" s="1"/>
  <c r="T56" i="5"/>
  <c r="U56" i="5" s="1" a="1"/>
  <c r="U56" i="5" s="1"/>
  <c r="W56" i="5" s="1"/>
  <c r="T55" i="5"/>
  <c r="U55" i="5" s="1" a="1"/>
  <c r="U55" i="5" s="1"/>
  <c r="W55" i="5" s="1"/>
  <c r="T54" i="5"/>
  <c r="U54" i="5" s="1" a="1"/>
  <c r="U54" i="5" s="1"/>
  <c r="W54" i="5" s="1"/>
  <c r="T53" i="5"/>
  <c r="U53" i="5" s="1" a="1"/>
  <c r="U53" i="5" s="1"/>
  <c r="W53" i="5" s="1"/>
  <c r="T52" i="5"/>
  <c r="U52" i="5" s="1" a="1"/>
  <c r="U52" i="5" s="1"/>
  <c r="W52" i="5" s="1"/>
  <c r="T51" i="5"/>
  <c r="U51" i="5" s="1" a="1"/>
  <c r="U51" i="5" s="1"/>
  <c r="W51" i="5" s="1"/>
  <c r="T50" i="5"/>
  <c r="U50" i="5" s="1" a="1"/>
  <c r="U50" i="5" s="1"/>
  <c r="W50" i="5" s="1"/>
  <c r="T49" i="5"/>
  <c r="U49" i="5" s="1" a="1"/>
  <c r="U49" i="5" s="1"/>
  <c r="W49" i="5" s="1"/>
  <c r="T48" i="5"/>
  <c r="U48" i="5" s="1" a="1"/>
  <c r="U48" i="5" s="1"/>
  <c r="W48" i="5" s="1"/>
  <c r="T47" i="5"/>
  <c r="U47" i="5" s="1" a="1"/>
  <c r="U47" i="5" s="1"/>
  <c r="W47" i="5" s="1"/>
  <c r="T46" i="5"/>
  <c r="U46" i="5" s="1" a="1"/>
  <c r="U46" i="5" s="1"/>
  <c r="W46" i="5" s="1"/>
  <c r="T45" i="5"/>
  <c r="U45" i="5" s="1" a="1"/>
  <c r="U45" i="5" s="1"/>
  <c r="W45" i="5" s="1"/>
  <c r="T44" i="5"/>
  <c r="U44" i="5" s="1" a="1"/>
  <c r="U44" i="5" s="1"/>
  <c r="W44" i="5" s="1"/>
  <c r="T43" i="5"/>
  <c r="U43" i="5" s="1" a="1"/>
  <c r="U43" i="5" s="1"/>
  <c r="W43" i="5" s="1"/>
  <c r="T42" i="5"/>
  <c r="U42" i="5" s="1" a="1"/>
  <c r="U42" i="5" s="1"/>
  <c r="W42" i="5" s="1"/>
  <c r="T41" i="5"/>
  <c r="U41" i="5" s="1" a="1"/>
  <c r="U41" i="5" s="1"/>
  <c r="W41" i="5" s="1"/>
  <c r="T40" i="5"/>
  <c r="U40" i="5" s="1" a="1"/>
  <c r="U40" i="5" s="1"/>
  <c r="W40" i="5" s="1"/>
  <c r="T39" i="5"/>
  <c r="U39" i="5" s="1" a="1"/>
  <c r="U39" i="5" s="1"/>
  <c r="W39" i="5" s="1"/>
  <c r="T38" i="5"/>
  <c r="U38" i="5" s="1"/>
  <c r="W38" i="5" s="1"/>
  <c r="T37" i="5"/>
  <c r="U37" i="5" s="1" a="1"/>
  <c r="U37" i="5" s="1"/>
  <c r="W37" i="5" s="1"/>
  <c r="T36" i="5"/>
  <c r="U36" i="5" s="1" a="1"/>
  <c r="U36" i="5" s="1"/>
  <c r="W36" i="5" s="1"/>
  <c r="T35" i="5"/>
  <c r="U35" i="5" s="1" a="1"/>
  <c r="U35" i="5" s="1"/>
  <c r="W35" i="5" s="1"/>
  <c r="T34" i="5"/>
  <c r="U34" i="5" s="1" a="1"/>
  <c r="U34" i="5" s="1"/>
  <c r="W34" i="5" s="1"/>
  <c r="T33" i="5"/>
  <c r="U33" i="5" s="1" a="1"/>
  <c r="U33" i="5" s="1"/>
  <c r="W33" i="5" s="1"/>
  <c r="T32" i="5"/>
  <c r="U32" i="5" s="1" a="1"/>
  <c r="U32" i="5" s="1"/>
  <c r="W32" i="5" s="1"/>
  <c r="T31" i="5"/>
  <c r="U31" i="5" s="1" a="1"/>
  <c r="U31" i="5" s="1"/>
  <c r="W31" i="5" s="1"/>
  <c r="T30" i="5"/>
  <c r="U30" i="5" s="1" a="1"/>
  <c r="U30" i="5" s="1"/>
  <c r="W30" i="5" s="1"/>
  <c r="T29" i="5"/>
  <c r="U29" i="5" s="1" a="1"/>
  <c r="U29" i="5" s="1"/>
  <c r="W29" i="5" s="1"/>
  <c r="T28" i="5"/>
  <c r="U28" i="5" s="1" a="1"/>
  <c r="U28" i="5" s="1"/>
  <c r="W28" i="5" s="1"/>
  <c r="T27" i="5"/>
  <c r="U27" i="5" s="1" a="1"/>
  <c r="U27" i="5" s="1"/>
  <c r="W27" i="5" s="1"/>
  <c r="T26" i="5"/>
  <c r="U26" i="5" s="1" a="1"/>
  <c r="U26" i="5" s="1"/>
  <c r="W26" i="5" s="1"/>
  <c r="T25" i="5"/>
  <c r="U25" i="5" s="1" a="1"/>
  <c r="U25" i="5" s="1"/>
  <c r="W25" i="5" s="1"/>
  <c r="T24" i="5"/>
  <c r="U24" i="5" s="1" a="1"/>
  <c r="U24" i="5" s="1"/>
  <c r="W24" i="5" s="1"/>
  <c r="T23" i="5"/>
  <c r="U23" i="5" s="1" a="1"/>
  <c r="U23" i="5" s="1"/>
  <c r="W23" i="5" s="1"/>
  <c r="T22" i="5"/>
  <c r="U22" i="5" s="1" a="1"/>
  <c r="U22" i="5" s="1"/>
  <c r="W22" i="5" s="1"/>
  <c r="T21" i="5"/>
  <c r="U21" i="5" s="1"/>
  <c r="W21" i="5" s="1"/>
  <c r="T17" i="5" l="1"/>
  <c r="U17" i="5" s="1" a="1"/>
  <c r="U17" i="5" s="1"/>
  <c r="W17" i="5" s="1"/>
  <c r="T18" i="5"/>
  <c r="U18" i="5" s="1" a="1"/>
  <c r="U18" i="5" s="1"/>
  <c r="W18" i="5" s="1"/>
  <c r="T19" i="5"/>
  <c r="U19" i="5" s="1" a="1"/>
  <c r="U19" i="5" s="1"/>
  <c r="W19" i="5" s="1"/>
  <c r="T20" i="5"/>
  <c r="U20" i="5" s="1" a="1"/>
  <c r="U20" i="5" s="1"/>
  <c r="W20" i="5" s="1"/>
  <c r="T8" i="5"/>
  <c r="U8" i="5" s="1" a="1"/>
  <c r="U8" i="5" s="1"/>
  <c r="W8" i="5" s="1"/>
  <c r="T6" i="5"/>
  <c r="U6" i="5" s="1" a="1"/>
  <c r="U6" i="5" s="1"/>
  <c r="W6" i="5" s="1"/>
  <c r="T7" i="5"/>
  <c r="U7" i="5" s="1" a="1"/>
  <c r="U7" i="5" s="1"/>
  <c r="W7" i="5" s="1"/>
  <c r="T9" i="5"/>
  <c r="U9" i="5" s="1" a="1"/>
  <c r="U9" i="5" s="1"/>
  <c r="W9" i="5" s="1"/>
  <c r="T10" i="5"/>
  <c r="U10" i="5" s="1" a="1"/>
  <c r="U10" i="5" s="1"/>
  <c r="W10" i="5" s="1"/>
  <c r="T11" i="5"/>
  <c r="U11" i="5" s="1" a="1"/>
  <c r="U11" i="5" s="1"/>
  <c r="W11" i="5" s="1"/>
  <c r="T12" i="5"/>
  <c r="U12" i="5" s="1" a="1"/>
  <c r="U12" i="5" s="1"/>
  <c r="W12" i="5" s="1"/>
  <c r="T13" i="5"/>
  <c r="U13" i="5" s="1" a="1"/>
  <c r="U13" i="5" s="1"/>
  <c r="W13" i="5" s="1"/>
  <c r="T14" i="5"/>
  <c r="U14" i="5" s="1" a="1"/>
  <c r="U14" i="5" s="1"/>
  <c r="W14" i="5" s="1"/>
  <c r="T15" i="5"/>
  <c r="U15" i="5" s="1" a="1"/>
  <c r="U15" i="5" s="1"/>
  <c r="W15" i="5" s="1"/>
  <c r="T16" i="5"/>
  <c r="U16" i="5" s="1" a="1"/>
  <c r="U16" i="5" s="1"/>
  <c r="W16" i="5" s="1"/>
  <c r="T5" i="5"/>
  <c r="U5" i="5" s="1"/>
  <c r="W5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<sst xmlns="http://schemas.openxmlformats.org/spreadsheetml/2006/main" count="474" uniqueCount="222">
  <si>
    <t>Hygienic Design Risk Assessment</t>
  </si>
  <si>
    <t>B</t>
  </si>
  <si>
    <t>C</t>
  </si>
  <si>
    <t>Food Safety Hazard Identified</t>
  </si>
  <si>
    <t xml:space="preserve">Intended Use </t>
  </si>
  <si>
    <t xml:space="preserve">ออกแบบตรงตามวัตถุประสงค์การใช้งานของผลิตภัณฑ์และกระบวนการตามต้องการ
</t>
  </si>
  <si>
    <t>ออกแบบให้สามารถทำความสะอาดได้</t>
  </si>
  <si>
    <t>ออกแบบโดยเฉพาะต่อการใช้งาน เช่น ผลิตภัณฑ์, กระบวนการ, วิธีการปฏิบัติงาน, สถานที่)</t>
  </si>
  <si>
    <t>ความรุนแรง</t>
  </si>
  <si>
    <t>P</t>
  </si>
  <si>
    <t xml:space="preserve">มีคู่มือการทำความสะอาดสำหรับเครื่องจักร /อุปกรณ์นั้น ข้อมูลครบถ้วน ระบุวิธีการทำความสะอาด สารเคมีที่ใช้ </t>
  </si>
  <si>
    <t>มีเอกสารข้อกำหนดการจัดซื้อเครื่องมือและอุปกรณ์ครบถ้วน</t>
  </si>
  <si>
    <t>ไม่มีเอกสารข้อกำหนดการจัดซื้อเครื่องมือและอุปกรณ์เลย</t>
  </si>
  <si>
    <t>มีเอกสารข้อกำหนดการจัดซื้อเครื่องมือและอุปกรณ์ แต่ข้อมูลไม่ครบถ้วน</t>
  </si>
  <si>
    <t>การออกแบบตามหลักการด้านสุขลักษณะ (Hygienic design principles)</t>
  </si>
  <si>
    <t>มีคู่มือการทำความสะอาด สำหรับเครื่องจักร /อุปกรณ์นั้นแต่ข้อมูลไม่ครบถ้วน</t>
  </si>
  <si>
    <t>ไม่มีคู่มือการทำความสะอาดสำหรับเครื่องจักร /อุปกรณ์นั้น</t>
  </si>
  <si>
    <t>ออกแบบและก่อสร้างเพื่อหลีกเลี่ยงสภาวะที่เอื้อต่อการเพิ่มของ เชื้อก่อโรค และสัตว์พาหะนำโรค รวมถึงการเข้าหลบซ่อนอาศัยอยู่</t>
  </si>
  <si>
    <t>ออกแบบเพื่อป้องกันการปนเปื้อนอย่างเหมาะสมต่อวัตถุประสงค์การใช้งาน</t>
  </si>
  <si>
    <t>มีการประยุกต์ใช้หลักการออกแบบอย่างถูกสุขลักษณะ (Hygienic Design) สำหรับการติดตั้งเครื่องจักรใหม่ที่สถานผลิตอาหาร</t>
  </si>
  <si>
    <t>มีการประยุกต์ใช้หลักการออกแบบอย่างถูกสุขลักษณะ (Hygienic Design) เพื่อให้มั่นใจว่าการบำรุงรักษาเครื่องจักรเป็นไปอย่างมีประสิทธิภาพตามวัตถุประสงค์การใช้งานของเครื่องจักร</t>
  </si>
  <si>
    <t>มีการจัดเก็บ และจัดส่งเครื่องจักร/อุปกรณ์ ให้แก่ลูกค้าที่สามารถป้องกันการปนเปื้อนได้</t>
  </si>
  <si>
    <t>- ที่จัดเก็บเป็นบริเวณเปิด 
ไม่มีระบบป้องกันฝุ่น และสัตว์พาหะนำโรค
'- รถขนส่งสินค้าเปิดโล่ง ไม่มีวัสดุห่อหุ้มเครื่องจักร อุปกรณ์</t>
  </si>
  <si>
    <t xml:space="preserve">- พื้นที่จัดเก็บสะอาด เป็นระบบปิด มีมาตรการป้องกันสัตว์พาหะนำโรค
- การจัดส่งสินค้าในรถปิดสนิท สะอาด มีการห่อหุ้มเครื่องจักร อุปกรณ์มาอย่างดี
</t>
  </si>
  <si>
    <t>- พื้นที่จัดเก็บปิด แต่สภาพแวดล้อมค่อนข้างมีฝุ่น
ไม่มีมาตรการป้องกันสัตว์พาหะนำโรค
- รถขนส่งสินค้าปิดสนิท สินค้าไม่มีการห่อหุ้มด้วยวัสดุใดๆ</t>
  </si>
  <si>
    <t xml:space="preserve">มีเอกสารอธิบายวัตถุประสงค์การใช้งานของเครื่องจักร อุปกรณ์แต่ข้อมูลไม่ครบถ้วน </t>
  </si>
  <si>
    <t>ไม่มีการจัดทำเอกสาร 
วัตถุประสงค์การใช้งานของเครื่องจักร อุปกรณ์เลย</t>
  </si>
  <si>
    <t>มีเอกสารอธิบายวัตถุประสงค์การใช้งานของเครื่องจักร อุปกรณ์ข้อมูลครบถ้วน ดังนี้
(Product, Process, Operating modes, Cleaning
Value chain, Vulnerability of end users
Machine Users, Life cycle, Environment, Law and Regulations)</t>
  </si>
  <si>
    <t>มีคู่มือการบำรุงรักษา
เครื่องจักร อุปกรณ์</t>
  </si>
  <si>
    <t>นัยสำคัญ</t>
  </si>
  <si>
    <t>ความเสี่ยง</t>
  </si>
  <si>
    <t>การสะสมและเพิ่มจำนวนของเชื้อก่อโรคเนื่องพื้นผิวสัมผัสของวัสดุมีรอยต่อ หรือไม่เรียบ 
ยากต่อการทำความสะอาด หรือถอดล้างทำความสะอาดไม่ได้</t>
  </si>
  <si>
    <t>การปนเปื้อนของเศษเหล็ก เศษโลหะ เศษแก้ว 
กระจก พลาสติด จากอุปกรณ์ เครื่องจักรชำรุดจากการออกแบบไม่ถูกสุขลักษณะ</t>
  </si>
  <si>
    <t>การปนเปื้อนของโลหะหนักเนื่องจากการใช้วัสดุ
ที่ใช้ไม่เหมาะสมต่อวัตถุประสงค์การใช้งาน</t>
  </si>
  <si>
    <t>การตกค้างของสารเคมีทำความสะอาดเนื่องจาก
การออกแบบเครื่องจักร อุปกรณ์ไม่เหมาะสม</t>
  </si>
  <si>
    <t>วัสดุพื้นผิวเรียบ ชิ้นส่วน
เครื่องจักร อุปกรณ์สามารถถอดประกอบได้ง่าย</t>
  </si>
  <si>
    <t>วัสดุพื้นผิวขรุขระ มีรอยต่อ ซอกมุม ชิ้นส่วน
เครื่องจักร อุปกรณ์ไม่สามารถถอดประกอบได้</t>
  </si>
  <si>
    <t>วัสดุพื้นผิวเรียบ แต่ชิ้นส่วน
เครื่องจักร อุปกรณ์ถอดประกอบค่อนข้างยาก</t>
  </si>
  <si>
    <t>วัสดุไม่ได้ออกแบบเพื่อการ
เฉพาะแต่มีเอกสารหลักฐานแสดงว่าวัสดุมีความปลอดภัย และคงทน</t>
  </si>
  <si>
    <t xml:space="preserve">ไม่มีเอกสารหลักฐานแสดง 
ชนิดวัสดุสัมผัสอาหารใดๆ
</t>
  </si>
  <si>
    <t>มีเอกสารหลักฐานแสดง 
ชนิดวัสดุสัมผัสอาหารที่ใช้ เช่น สแตนเลส เบอร์ 304 มีใบรับรองชัดเจน
หรือวัสดุทนการกัดกร่อน ไม่ทำปฏิกิริยาต่ออาหาร เช่น สินค้าที่จะผลิตมีความเป็นกรด ต้องมีเอกสารยืนยันว่าเครื่องมือนี้มีความทดสภาวะความเป็นกรดได้</t>
  </si>
  <si>
    <t>มีคู่มือการติดตั้งเครื่องจักรครบถ้วน
 (ข้อจำกัดและค่าการใช้งาน, การควบคุมหรือการตรวจสอบอุปกรณ์)</t>
  </si>
  <si>
    <t>การปนเปื้อนของสิ่งแปลกปลอมระหว่างการติดตั้งเครื่องจักร</t>
  </si>
  <si>
    <t>การปนเปื้อนของสารเคมีระหว่างการติดตั้งเครื่องจักร</t>
  </si>
  <si>
    <t>การปนเปื้อนเชื้อก่อโรคจากช่างติดตั้งเครื่องจักร</t>
  </si>
  <si>
    <t>โอกาสเกิดขึ้นน้อย</t>
  </si>
  <si>
    <t>โอกาสเกิดขึ้นมาก</t>
  </si>
  <si>
    <t>โอกาสเกิดขึ้นปานกลาง</t>
  </si>
  <si>
    <t>ไม่มีคู่มือการบำรุงรักษา
เครื่องจักร อุปกรณ์</t>
  </si>
  <si>
    <t>มีคู่มือการบำรุงรักษา
เครื่องจักร อุปกรณ์ แต่ไม่ชัดเจน</t>
  </si>
  <si>
    <t>ไม่มีคู่มือการติดตั้งเครื่องจักรครบถ้วน
 (ข้อจำกัดและค่าการใช้งาน, การควบคุมหรือการตรวจสอบอุปกรณ์)</t>
  </si>
  <si>
    <t>คู่มือการติดตั้งเครื่องจักร
ไม่ครบถ้วน</t>
  </si>
  <si>
    <t>เกณฑ์การพิจารณาการให้คะแนน (ความเสี่ยง)</t>
  </si>
  <si>
    <t>ส่งผลกระทบโดยตรงด้านความปลอดภัยต่อสินค้าที่ผลิต ทำให้เกิดการอันตรายปนเปื้อนไปในสินค้าและทำให้ผู้บริโภคเกิดการเจ็บป่วยรุนแรงถึงชีวิตได้ เช่นเครื่องจักร/อุปกรณ์นั้นสัมผัสตรงกับสินค้า</t>
  </si>
  <si>
    <t>ส่งผลกระทบทางด้านความปลอดภัยต่อสินค้าที่ผลิต ทำให้เกิดการอันตรายปนเปื้อนไปในสินค้าและทำให้ผู้บริโภคเกิดการเจ็บป่วยเล็กน้อย ถึงปานกลาง บาดเจ็บ สำลัก เป็นต้น เช่นเครื่องจักร/อุปกรณ์นั้นสัมผัสตรงกับสินค้า</t>
  </si>
  <si>
    <t xml:space="preserve">ไม่ส่งผลกระทบทางด้านความปลอดภัยต่อสินค้าที่ผลิต ไม่มีผลกระทบรุนแรงต่อผู้บริโภคสินค้า เช่น เครื่องจักร/อุปกรณ์นั้นไม่ได้สัมผัสตรงกับสินค้า </t>
  </si>
  <si>
    <t>1-3</t>
  </si>
  <si>
    <t>4-6</t>
  </si>
  <si>
    <t>7-9</t>
  </si>
  <si>
    <t>นัยสำคัญของอันตราย</t>
  </si>
  <si>
    <t>Minor</t>
  </si>
  <si>
    <t>Major</t>
  </si>
  <si>
    <t>Critical</t>
  </si>
  <si>
    <t>มาตรการควบคุม</t>
  </si>
  <si>
    <t>ช่วงคะแนน</t>
  </si>
  <si>
    <t>ระดับอันตราย</t>
  </si>
  <si>
    <t>ดำเนินการจัดซื้อเครื่องจักร อุปกรณ์ใหม่นั้นได้</t>
  </si>
  <si>
    <t>ไม่ซื้อเครื่องจักร อุปกรณ์นั้น จัดหาผู้ขายรายใหม่</t>
  </si>
  <si>
    <t>ยังไม่ดำเนินการซื้อ ขอข้อมูลจากผู้ขายเพิ่มเติม</t>
  </si>
  <si>
    <t>ชื่อผู้ขาย</t>
  </si>
  <si>
    <t>ลำดับ</t>
  </si>
  <si>
    <t>1. Hygienic design principles</t>
  </si>
  <si>
    <t xml:space="preserve">2.Intended Use </t>
  </si>
  <si>
    <t>3. Food Safety Hazard Identified</t>
  </si>
  <si>
    <t>การพิจารณาความเสี่ยง (ข้อ 1+2+3)</t>
  </si>
  <si>
    <t>15-25</t>
  </si>
  <si>
    <t>26-35</t>
  </si>
  <si>
    <t>36-45</t>
  </si>
  <si>
    <t>คะแนนความเสี่ยง</t>
  </si>
  <si>
    <t>ช่วงคะแนนรวมที่ได้</t>
  </si>
  <si>
    <t>คะแนนรวม  (1+2+3)</t>
  </si>
  <si>
    <t>แบบประเมินความเสี่ยง การออกแบบเครื่องจักร/อุปกรณ์ใหม่อย่างถูกสุขลักษณะ (Equipment design risk assessment)</t>
  </si>
  <si>
    <t>Fuji kikai</t>
  </si>
  <si>
    <t>ระดับ</t>
  </si>
  <si>
    <t>A</t>
  </si>
  <si>
    <t>HAKIHARA</t>
  </si>
  <si>
    <t>PRINTING / FCS-10 /FCS-125-10-58273</t>
  </si>
  <si>
    <t>PRINTING / FCS-8S-125 / FCS-125-8S-58280</t>
  </si>
  <si>
    <t>Dry Laminate / FML2-130RC / FML2-130RC-58281</t>
  </si>
  <si>
    <t>Dry Laminate / FL2-130N-C / FL2-130N-0-58274</t>
  </si>
  <si>
    <t>Dry Laminate / FL2-130N / 58504</t>
  </si>
  <si>
    <t>REWINDER / RSS-108I-1300 / 112812-1</t>
  </si>
  <si>
    <t>REWINDER / RSS-128I-1300 / 112812-2</t>
  </si>
  <si>
    <t>REWINDER / RSS-108I-1300 / 11281-1</t>
  </si>
  <si>
    <t>REWINDER / KTZ-D3FGRS / 5506089</t>
  </si>
  <si>
    <t>TOSHIN</t>
  </si>
  <si>
    <t>REWINDER / KZW-D1FGRS / 5506120</t>
  </si>
  <si>
    <t>REWINDER / KTZ-D3FGRS AND DOCTOR INSPECT-S1300 / 18141M</t>
  </si>
  <si>
    <t>WEBCONTROL</t>
  </si>
  <si>
    <t>SLITTER / HDF-105S-1300/C / 112809</t>
  </si>
  <si>
    <t>SLITTER / HDF-605S-1300 / 112807</t>
  </si>
  <si>
    <t>SLITTER&amp;FUKGURATER / HSF905H-1300 / 123121</t>
  </si>
  <si>
    <t>REWINDER / RSF-105V-600 / 123171</t>
  </si>
  <si>
    <t>BAG MAKING / HK-65V / 10012/110</t>
  </si>
  <si>
    <t>BAG MAKING / BH-60DLLSC / 100145/04</t>
  </si>
  <si>
    <t>TOTANI</t>
  </si>
  <si>
    <t>BAG MAKING / FD-35VLSC / 100159/15</t>
  </si>
  <si>
    <t>BAG MAKING / SBM-600-SPG / A68564114</t>
  </si>
  <si>
    <t>NISHIBE</t>
  </si>
  <si>
    <t>BAG MAKING / A7646517 / SBM-700-SPNG</t>
  </si>
  <si>
    <t>BAG MAKING / Bi-60HVL / 9502220</t>
  </si>
  <si>
    <t>NICHIU</t>
  </si>
  <si>
    <t>FORKLIFT / FBRAW13-75C-500M / 121 AE1472</t>
  </si>
  <si>
    <t>FORKLIFT / FBR13-75C-400 / 181ZR0856</t>
  </si>
  <si>
    <t>KOBELCO</t>
  </si>
  <si>
    <t>AIR COMPRESSOR / FE630HA-5  / 3BB10070</t>
  </si>
  <si>
    <t>AIR COMPRESSOR / FE630HA-5  / 3BB10071</t>
  </si>
  <si>
    <t>FUJI KIKAI</t>
  </si>
  <si>
    <t>VISCOSITY / FVC-100D3 / 1261330</t>
  </si>
  <si>
    <t>VISCOSITY / FVC-100D3 / 12613227</t>
  </si>
  <si>
    <t>VISCOSITY / FVC-150D3 / 1280263</t>
  </si>
  <si>
    <t>VISCOSITY / FVC-100D3 / 1261326</t>
  </si>
  <si>
    <t>VISCOSITY / FVC-100D3 / 1261328</t>
  </si>
  <si>
    <t>VISCOSITY / FVC-100D3 / 1261329</t>
  </si>
  <si>
    <t>VISCOSITY / FVC-100D3 / 1261331</t>
  </si>
  <si>
    <t>VISCOSITY / FVC-150D3 / 1280267</t>
  </si>
  <si>
    <t>VISCOSITY / FVC-100D3 / 1261315</t>
  </si>
  <si>
    <t>VISCOSITY / FVC-100D3 / 1261312</t>
  </si>
  <si>
    <t>VISCOSITY / FVC-100D3 / 1261314</t>
  </si>
  <si>
    <t>VISCOSITY / FVC-100D3 / 1261313</t>
  </si>
  <si>
    <t>VISCOSITY / FVC-100D3 / 1261311</t>
  </si>
  <si>
    <t>VISCOSITY / FVC-100D3 / 1261310</t>
  </si>
  <si>
    <t>VISCOSITY / FVC-100D3 / 1261316</t>
  </si>
  <si>
    <t>VISCOSITY / FVC-100D3 / 1261317</t>
  </si>
  <si>
    <t>VISCOSITY / FVC-100D3 / 1260261</t>
  </si>
  <si>
    <t>VISCOSITY / FVC-150D3 / 1260262</t>
  </si>
  <si>
    <t>MITSUBISHI</t>
  </si>
  <si>
    <t>FORKLIFT / FD30NT / CF14E-16866</t>
  </si>
  <si>
    <t>FORKLIFT / FBRW13-75C-350M / 1812R0899</t>
  </si>
  <si>
    <t>FORKLIFT / BRW20-800-500M / 186F00123</t>
  </si>
  <si>
    <t>เครื่องตัดปากถุง / G-CC-01</t>
  </si>
  <si>
    <t>เครื่องติดสติกเกอร์ / OSP</t>
  </si>
  <si>
    <t>เครื่องตัดมุมถุง / CC-1N / 2013.1</t>
  </si>
  <si>
    <t>เครื่องตัดมุมถุง / ST-1 / K1-065</t>
  </si>
  <si>
    <t>ชื่อเครื่องจักร , อุปกรณ์ / รุ่นที่ผลิต / หมายเลขเครื่อง</t>
  </si>
  <si>
    <t>ACT</t>
  </si>
  <si>
    <t>CHILLER / AX5A / Y1812003</t>
  </si>
  <si>
    <t>CHILLER / AX5A / Y1812004</t>
  </si>
  <si>
    <t>CHILLER / AX5A / Y1812005</t>
  </si>
  <si>
    <t>CHILLER / AX5A / F200615-06</t>
  </si>
  <si>
    <t>CHILLER / AX5A / 5</t>
  </si>
  <si>
    <t>CHILLER / AX5A / F200615-08</t>
  </si>
  <si>
    <t>CHILLER / AX5A / F200615-07</t>
  </si>
  <si>
    <t>HEAT SEAL / TP-701A / 45347</t>
  </si>
  <si>
    <t>HEAT SEAL / TP-701AB / 66363</t>
  </si>
  <si>
    <t>CHOPER / TESTER / 65489</t>
  </si>
  <si>
    <t>TOKYO</t>
  </si>
  <si>
    <t>OVEN / NOO-601SD /10217332</t>
  </si>
  <si>
    <t>OVEN / NOO-601SD /10217331</t>
  </si>
  <si>
    <t>GC / GC-7820A / G439</t>
  </si>
  <si>
    <t>GC / GC-7697A / G4556-6400</t>
  </si>
  <si>
    <t xml:space="preserve"> KEYENCE</t>
  </si>
  <si>
    <t>DIGITAL MICROSCOPE / VHX-5000 / TCL-1515080</t>
  </si>
  <si>
    <t>VACUUM AERATION / 500 / 710</t>
  </si>
  <si>
    <t>AUTO GRAPH / AGS-X500N / 346-55900-1</t>
  </si>
  <si>
    <t>UNIVERSAL</t>
  </si>
  <si>
    <t>BRAVO / N/A / N/A</t>
  </si>
  <si>
    <t xml:space="preserve">BRAVO /  Stealti M1 </t>
  </si>
  <si>
    <t xml:space="preserve">COF </t>
  </si>
  <si>
    <t>CHILLER / AX1.2A / F201125-10</t>
  </si>
  <si>
    <t>FORKLIFT / FB25BN-80C-3F500 / 257D00269</t>
  </si>
  <si>
    <t>BRAVO</t>
  </si>
  <si>
    <t>HEAT SEAL / FGDBPC00110002</t>
  </si>
  <si>
    <t>FORKLIFT / FD30NT / CF14E-20745NO375</t>
  </si>
  <si>
    <t>RETORT / OPSR350 / 230755</t>
  </si>
  <si>
    <t>XRITE / GH-XR-40 / 17863</t>
  </si>
  <si>
    <t>Cr  Polishing Unit</t>
  </si>
  <si>
    <t>NKC  KOLEC</t>
  </si>
  <si>
    <t>ELECTRIC HAND  LIFT / FK15L / 199XK6282</t>
  </si>
  <si>
    <t>ELECTRIC HAND  LIFT / FK15L / 199XK6285</t>
  </si>
  <si>
    <t>ELECTRIC HAND  LIFT / FK15L / 199XK6286</t>
  </si>
  <si>
    <t xml:space="preserve">ELECTRIC HAND  LIFT / LHE150 / 20220704458 </t>
  </si>
  <si>
    <t>ELECTRIC HAND  LIFT / LHE150 / 20220401892</t>
  </si>
  <si>
    <t>ELECTRIC HAND  LIFT / LHE150 / 2022050132A</t>
  </si>
  <si>
    <t>TOYOTA</t>
  </si>
  <si>
    <t>FORKLIFT /  VTFL390 / 8FBE20</t>
  </si>
  <si>
    <t xml:space="preserve"> AIR DRYER / GX8265 / 220010</t>
  </si>
  <si>
    <t>CKD</t>
  </si>
  <si>
    <t xml:space="preserve"> AIR DRYER / ARX-90HL / E23400035</t>
  </si>
  <si>
    <t>ORION</t>
  </si>
  <si>
    <t>เครื่องกรองน้ำ RO / MR3 /284</t>
  </si>
  <si>
    <t>MARSTE</t>
  </si>
  <si>
    <t>เครื่องบดขยะ / 2035 / 812</t>
  </si>
  <si>
    <t>เครื่องบดขยะ / 2035 / 897</t>
  </si>
  <si>
    <t>เครื่องบดขยะ / 2035 / 816</t>
  </si>
  <si>
    <t>เครื่องตัดแกน / SCK-45E / 4082446</t>
  </si>
  <si>
    <t>ลิฟท์ไฟฟ้ารากจูง / GWTY 8 / TS120425-3S</t>
  </si>
  <si>
    <t>F</t>
  </si>
  <si>
    <t>DAIKIN</t>
  </si>
  <si>
    <t>AIR CONDITIONER / FH48NUV2S</t>
  </si>
  <si>
    <t>AIR CONDITIONER / R48NUY2S</t>
  </si>
  <si>
    <t>AIR CONDITIONER / BRC7NU66S</t>
  </si>
  <si>
    <t>AIR CONDITIONER / FHC36PUV2S</t>
  </si>
  <si>
    <t>AIR CONDITIONER / R42NUY2S</t>
  </si>
  <si>
    <t>AIR CONDITIONER / FH18PUV2S</t>
  </si>
  <si>
    <t>AIR CONDITIONER / AFD08KAY1</t>
  </si>
  <si>
    <t>AIR CONDITIONER / FH42PUV2S</t>
  </si>
  <si>
    <t>AIR CONDITIONER / FHC18NUV2S</t>
  </si>
  <si>
    <t>AIR CONDITIONER / AFD15HAY1</t>
  </si>
  <si>
    <t>AIR CONDITIONER / RU15NY1S</t>
  </si>
  <si>
    <t>AIR CONDITIONER / BRC1NU64S</t>
  </si>
  <si>
    <t>AIR CONDITIONER / AHU55DAS</t>
  </si>
  <si>
    <t>AIR CONDITIONER / RU18NNY1SX3</t>
  </si>
  <si>
    <t>AIR CONDITIONER / AFVP18KAY</t>
  </si>
  <si>
    <t>AIR CONDITIONER / AHU40DAS</t>
  </si>
  <si>
    <t>AIR CONDITIONER / RU20NY1SX2</t>
  </si>
  <si>
    <t>AIR CONDITIONER / RU18NY1SX2</t>
  </si>
  <si>
    <t>AIR CONDITIONER / FT09LV2S</t>
  </si>
  <si>
    <t>AIR CONDITIONER / R09LV2S</t>
  </si>
  <si>
    <t>-</t>
  </si>
  <si>
    <t>มีแผน PM ประจำปีและแบบฟอร์มการตรวจสอบสิ่งแปลกปลอม รวมถึงมีการควบคุมสิ่งแปลกปลอมทางกายภาพ</t>
  </si>
  <si>
    <t>มีแผน PM ประจำปี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</si>
</sst>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H Sarabun New"/>
      <family val="2"/>
    </font>
    <font>
      <b/>
      <sz val="11"/>
      <color theme="1"/>
      <name val="TH Sarabun New"/>
      <family val="2"/>
    </font>
    <font>
      <b/>
      <sz val="12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sz val="12"/>
      <color theme="1"/>
      <name val="TH Sarabun New"/>
      <family val="2"/>
    </font>
    <font>
      <b/>
      <sz val="16"/>
      <color theme="1"/>
      <name val="TH Sarabun New"/>
      <family val="2"/>
    </font>
    <font>
      <b/>
      <sz val="12"/>
      <name val="TH Sarabun New"/>
      <family val="2"/>
    </font>
    <font>
      <b/>
      <sz val="10"/>
      <color theme="1"/>
      <name val="TH Sarabun New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/>
    <xf numFmtId="0" fontId="4" fillId="2" borderId="12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/>
    </xf>
    <xf numFmtId="0" fontId="4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5" fillId="0" borderId="1" xfId="0" quotePrefix="1" applyFont="1" applyBorder="1" applyAlignment="1">
      <alignment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/>
    </xf>
    <xf numFmtId="0" fontId="5" fillId="0" borderId="1" xfId="0" applyFont="1" applyBorder="1"/>
    <xf numFmtId="0" fontId="5" fillId="0" borderId="6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6" xfId="0" applyFont="1" applyBorder="1" applyAlignment="1">
      <alignment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49" fontId="5" fillId="0" borderId="0" xfId="0" applyNumberFormat="1" applyFont="1"/>
    <xf numFmtId="49" fontId="4" fillId="0" borderId="1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9" fontId="5" fillId="0" borderId="10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49" fontId="5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49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4" fillId="2" borderId="0" xfId="0" applyFont="1" applyFill="1"/>
    <xf numFmtId="49" fontId="5" fillId="2" borderId="0" xfId="0" applyNumberFormat="1" applyFont="1" applyFill="1"/>
    <xf numFmtId="0" fontId="5" fillId="2" borderId="0" xfId="0" applyFont="1" applyFill="1"/>
    <xf numFmtId="0" fontId="6" fillId="0" borderId="1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10" xfId="0" applyFont="1" applyBorder="1"/>
    <xf numFmtId="0" fontId="6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1" fillId="0" borderId="10" xfId="0" applyFont="1" applyBorder="1"/>
    <xf numFmtId="0" fontId="1" fillId="0" borderId="1" xfId="0" applyFont="1" applyBorder="1"/>
    <xf numFmtId="0" fontId="9" fillId="10" borderId="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4" fillId="2" borderId="11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textRotation="90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98611</xdr:rowOff>
    </xdr:from>
    <xdr:to>
      <xdr:col>2</xdr:col>
      <xdr:colOff>849618</xdr:colOff>
      <xdr:row>0</xdr:row>
      <xdr:rowOff>367851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>
        <a:xfrm>
          <a:off x="0" y="98611"/>
          <a:ext cx="1620583" cy="269240"/>
          <a:chOff x="0" y="0"/>
          <a:chExt cx="1620583" cy="269240"/>
        </a:xfrm>
      </xdr:grpSpPr>
      <xdr:sp macro="" textlink="">
        <xdr:nvSpPr>
          <xdr:cNvPr id="4" name="Graphic 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5" name="Imag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6" name="Graphic 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8965</xdr:colOff>
      <xdr:row>0</xdr:row>
      <xdr:rowOff>71717</xdr:rowOff>
    </xdr:from>
    <xdr:to>
      <xdr:col>2</xdr:col>
      <xdr:colOff>930301</xdr:colOff>
      <xdr:row>0</xdr:row>
      <xdr:rowOff>340957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3765FA1-9D02-4690-94EB-24A95E30EC11}"/>
            </a:ext>
          </a:extLst>
        </xdr:cNvPr>
        <xdr:cNvGrpSpPr>
          <a:grpSpLocks/>
        </xdr:cNvGrpSpPr>
      </xdr:nvGrpSpPr>
      <xdr:grpSpPr>
        <a:xfrm>
          <a:off x="8965" y="71717"/>
          <a:ext cx="1620583" cy="269240"/>
          <a:chOff x="0" y="0"/>
          <a:chExt cx="1620583" cy="269240"/>
        </a:xfrm>
      </xdr:grpSpPr>
      <xdr:sp macro="" textlink="">
        <xdr:nvSpPr>
          <xdr:cNvPr id="3" name="Graphic 2">
            <a:extLst>
              <a:ext uri="{FF2B5EF4-FFF2-40B4-BE49-F238E27FC236}">
                <a16:creationId xmlns:a16="http://schemas.microsoft.com/office/drawing/2014/main" id="{CA91D3EC-B0B3-B661-6B0A-02983030137B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4" name="Image 3">
            <a:extLst>
              <a:ext uri="{FF2B5EF4-FFF2-40B4-BE49-F238E27FC236}">
                <a16:creationId xmlns:a16="http://schemas.microsoft.com/office/drawing/2014/main" id="{65DB019A-D551-0613-0FF0-F44C1208065F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5" name="Graphic 4">
            <a:extLst>
              <a:ext uri="{FF2B5EF4-FFF2-40B4-BE49-F238E27FC236}">
                <a16:creationId xmlns:a16="http://schemas.microsoft.com/office/drawing/2014/main" id="{B8AE4D0E-275B-CA4C-196C-CD428F7A3A7F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2</xdr:col>
      <xdr:colOff>325183</xdr:colOff>
      <xdr:row>0</xdr:row>
      <xdr:rowOff>284480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99C0C6-78DA-4404-A4B3-0C3BB8A8ED90}"/>
            </a:ext>
          </a:extLst>
        </xdr:cNvPr>
        <xdr:cNvGrpSpPr>
          <a:grpSpLocks/>
        </xdr:cNvGrpSpPr>
      </xdr:nvGrpSpPr>
      <xdr:grpSpPr>
        <a:xfrm>
          <a:off x="0" y="15240"/>
          <a:ext cx="1620583" cy="269240"/>
          <a:chOff x="0" y="0"/>
          <a:chExt cx="1620583" cy="269240"/>
        </a:xfrm>
      </xdr:grpSpPr>
      <xdr:sp macro="" textlink="">
        <xdr:nvSpPr>
          <xdr:cNvPr id="3" name="Graphic 2">
            <a:extLst>
              <a:ext uri="{FF2B5EF4-FFF2-40B4-BE49-F238E27FC236}">
                <a16:creationId xmlns:a16="http://schemas.microsoft.com/office/drawing/2014/main" id="{6E9CE98B-F47F-3EFF-33BE-D8E683A2617A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4" name="Image 3">
            <a:extLst>
              <a:ext uri="{FF2B5EF4-FFF2-40B4-BE49-F238E27FC236}">
                <a16:creationId xmlns:a16="http://schemas.microsoft.com/office/drawing/2014/main" id="{4ADC9554-4D94-0F79-6B22-534B67F89D5C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5" name="Graphic 4">
            <a:extLst>
              <a:ext uri="{FF2B5EF4-FFF2-40B4-BE49-F238E27FC236}">
                <a16:creationId xmlns:a16="http://schemas.microsoft.com/office/drawing/2014/main" id="{77ADAD4E-06EA-18FC-B937-C57DF3EAEEDA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2"/>
  <sheetViews>
    <sheetView zoomScale="85" zoomScaleNormal="85" workbookViewId="0">
      <selection sqref="A1:X1"/>
    </sheetView>
  </sheetViews>
  <sheetFormatPr defaultColWidth="8.6640625" defaultRowHeight="21" x14ac:dyDescent="0.6"/>
  <cols>
    <col min="1" max="2" width="5.6640625" style="26" customWidth="1"/>
    <col min="3" max="3" width="66" style="26" customWidth="1"/>
    <col min="4" max="4" width="19.5546875" style="26" customWidth="1"/>
    <col min="5" max="5" width="3.88671875" style="26" customWidth="1"/>
    <col min="6" max="10" width="3" style="26" customWidth="1"/>
    <col min="11" max="11" width="4.5546875" style="26" customWidth="1"/>
    <col min="12" max="12" width="7.33203125" style="26" customWidth="1"/>
    <col min="13" max="19" width="3" style="26" customWidth="1"/>
    <col min="20" max="20" width="13.88671875" style="26" customWidth="1"/>
    <col min="21" max="21" width="15.109375" style="26" customWidth="1"/>
    <col min="22" max="22" width="9" style="26" customWidth="1"/>
    <col min="23" max="23" width="17.5546875" style="26" customWidth="1"/>
    <col min="24" max="24" width="65.33203125" style="26" customWidth="1"/>
    <col min="25" max="16384" width="8.6640625" style="24"/>
  </cols>
  <sheetData>
    <row r="1" spans="1:24" ht="34.200000000000003" customHeight="1" x14ac:dyDescent="0.6">
      <c r="A1" s="66" t="s">
        <v>81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</row>
    <row r="2" spans="1:24" ht="18.45" customHeight="1" x14ac:dyDescent="0.6">
      <c r="A2" s="68" t="s">
        <v>70</v>
      </c>
      <c r="B2" s="68" t="s">
        <v>83</v>
      </c>
      <c r="C2" s="74" t="s">
        <v>144</v>
      </c>
      <c r="D2" s="68" t="s">
        <v>69</v>
      </c>
      <c r="E2" s="71" t="s">
        <v>30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3"/>
      <c r="V2" s="67" t="s">
        <v>8</v>
      </c>
      <c r="W2" s="67" t="s">
        <v>29</v>
      </c>
      <c r="X2" s="68" t="s">
        <v>63</v>
      </c>
    </row>
    <row r="3" spans="1:24" ht="55.95" customHeight="1" x14ac:dyDescent="0.6">
      <c r="A3" s="69"/>
      <c r="B3" s="69"/>
      <c r="C3" s="80"/>
      <c r="D3" s="69"/>
      <c r="E3" s="78" t="s">
        <v>71</v>
      </c>
      <c r="F3" s="78"/>
      <c r="G3" s="78"/>
      <c r="H3" s="78"/>
      <c r="I3" s="78"/>
      <c r="J3" s="78"/>
      <c r="K3" s="78"/>
      <c r="L3" s="64" t="s">
        <v>72</v>
      </c>
      <c r="M3" s="79" t="s">
        <v>73</v>
      </c>
      <c r="N3" s="79"/>
      <c r="O3" s="79"/>
      <c r="P3" s="79"/>
      <c r="Q3" s="79"/>
      <c r="R3" s="79"/>
      <c r="S3" s="79"/>
      <c r="T3" s="74" t="s">
        <v>80</v>
      </c>
      <c r="U3" s="76" t="s">
        <v>30</v>
      </c>
      <c r="V3" s="67"/>
      <c r="W3" s="67"/>
      <c r="X3" s="69"/>
    </row>
    <row r="4" spans="1:24" x14ac:dyDescent="0.6">
      <c r="A4" s="70"/>
      <c r="B4" s="70"/>
      <c r="C4" s="75"/>
      <c r="D4" s="70"/>
      <c r="E4" s="54">
        <v>1.1000000000000001</v>
      </c>
      <c r="F4" s="54">
        <v>1.2</v>
      </c>
      <c r="G4" s="54">
        <v>1.3</v>
      </c>
      <c r="H4" s="54">
        <v>1.4</v>
      </c>
      <c r="I4" s="54">
        <v>1.5</v>
      </c>
      <c r="J4" s="54">
        <v>1.6</v>
      </c>
      <c r="K4" s="54">
        <v>1.7</v>
      </c>
      <c r="L4" s="55">
        <v>2.1</v>
      </c>
      <c r="M4" s="56">
        <v>3.1</v>
      </c>
      <c r="N4" s="56">
        <v>3.2</v>
      </c>
      <c r="O4" s="56">
        <v>3.3</v>
      </c>
      <c r="P4" s="56">
        <v>3.4</v>
      </c>
      <c r="Q4" s="56">
        <v>3.5</v>
      </c>
      <c r="R4" s="56">
        <v>3.6</v>
      </c>
      <c r="S4" s="56">
        <v>3.7</v>
      </c>
      <c r="T4" s="75"/>
      <c r="U4" s="77"/>
      <c r="V4" s="67"/>
      <c r="W4" s="67"/>
      <c r="X4" s="70"/>
    </row>
    <row r="5" spans="1:24" ht="15.9" customHeight="1" x14ac:dyDescent="0.6">
      <c r="A5" s="51">
        <v>1</v>
      </c>
      <c r="B5" s="51" t="s">
        <v>84</v>
      </c>
      <c r="C5" s="62" t="s">
        <v>86</v>
      </c>
      <c r="D5" s="52" t="s">
        <v>82</v>
      </c>
      <c r="E5" s="65">
        <v>1</v>
      </c>
      <c r="F5" s="59">
        <v>1</v>
      </c>
      <c r="G5" s="59">
        <v>1</v>
      </c>
      <c r="H5" s="59">
        <v>1</v>
      </c>
      <c r="I5" s="65">
        <v>1</v>
      </c>
      <c r="J5" s="65">
        <v>1</v>
      </c>
      <c r="K5" s="65">
        <v>1</v>
      </c>
      <c r="L5" s="60">
        <v>1</v>
      </c>
      <c r="M5" s="61">
        <v>2</v>
      </c>
      <c r="N5" s="61">
        <v>2</v>
      </c>
      <c r="O5" s="61">
        <v>2</v>
      </c>
      <c r="P5" s="61">
        <v>2</v>
      </c>
      <c r="Q5" s="61">
        <v>1</v>
      </c>
      <c r="R5" s="61">
        <v>2</v>
      </c>
      <c r="S5" s="61">
        <v>1</v>
      </c>
      <c r="T5" s="37">
        <f>SUM(E5:S5)</f>
        <v>20</v>
      </c>
      <c r="U5" s="57" t="str">
        <f>_xlfn.IFS( AND(T5&gt;=15,T5&lt;=25),"1", AND(T5&gt;25,T5&lt;=35),"2", AND(T5&gt;35,T5&lt;=45),"3")</f>
        <v>1</v>
      </c>
      <c r="V5" s="58">
        <v>3</v>
      </c>
      <c r="W5" s="58">
        <f>V5*U5</f>
        <v>3</v>
      </c>
      <c r="X5" s="50"/>
    </row>
    <row r="6" spans="1:24" ht="15.9" customHeight="1" x14ac:dyDescent="0.6">
      <c r="A6" s="53">
        <v>2</v>
      </c>
      <c r="B6" s="51" t="s">
        <v>84</v>
      </c>
      <c r="C6" s="62" t="s">
        <v>87</v>
      </c>
      <c r="D6" s="52" t="s">
        <v>82</v>
      </c>
      <c r="E6" s="65">
        <v>1</v>
      </c>
      <c r="F6" s="59">
        <v>1</v>
      </c>
      <c r="G6" s="59">
        <v>1</v>
      </c>
      <c r="H6" s="59">
        <v>1</v>
      </c>
      <c r="I6" s="65">
        <v>1</v>
      </c>
      <c r="J6" s="65">
        <v>1</v>
      </c>
      <c r="K6" s="65">
        <v>1</v>
      </c>
      <c r="L6" s="60">
        <v>1</v>
      </c>
      <c r="M6" s="61">
        <v>2</v>
      </c>
      <c r="N6" s="61">
        <v>2</v>
      </c>
      <c r="O6" s="61">
        <v>2</v>
      </c>
      <c r="P6" s="61">
        <v>2</v>
      </c>
      <c r="Q6" s="61">
        <v>1</v>
      </c>
      <c r="R6" s="61">
        <v>2</v>
      </c>
      <c r="S6" s="61">
        <v>1</v>
      </c>
      <c r="T6" s="37">
        <f>SUM(E6:S6)</f>
        <v>20</v>
      </c>
      <c r="U6" s="57" t="str" cm="1">
        <f t="array" ref="U6">_xlfn.IFS( AND(T6&gt;=15,T6&lt;=25),"1", AND(T6&gt;=26,T6&lt;=35),"2", AND(T6&gt;=36,T6&lt;=45),"3")</f>
        <v>1</v>
      </c>
      <c r="V6" s="58">
        <v>3</v>
      </c>
      <c r="W6" s="58">
        <f t="shared" ref="W6:W16" si="0">V6*U6</f>
        <v>3</v>
      </c>
      <c r="X6" s="4"/>
    </row>
    <row r="7" spans="1:24" ht="15.9" customHeight="1" x14ac:dyDescent="0.6">
      <c r="A7" s="51">
        <v>3</v>
      </c>
      <c r="B7" s="51" t="s">
        <v>84</v>
      </c>
      <c r="C7" s="63" t="s">
        <v>88</v>
      </c>
      <c r="D7" s="52" t="s">
        <v>82</v>
      </c>
      <c r="E7" s="65">
        <v>1</v>
      </c>
      <c r="F7" s="59">
        <v>1</v>
      </c>
      <c r="G7" s="59">
        <v>1</v>
      </c>
      <c r="H7" s="59">
        <v>1</v>
      </c>
      <c r="I7" s="65">
        <v>1</v>
      </c>
      <c r="J7" s="65">
        <v>1</v>
      </c>
      <c r="K7" s="65">
        <v>1</v>
      </c>
      <c r="L7" s="60">
        <v>1</v>
      </c>
      <c r="M7" s="61">
        <v>2</v>
      </c>
      <c r="N7" s="61">
        <v>2</v>
      </c>
      <c r="O7" s="61">
        <v>2</v>
      </c>
      <c r="P7" s="61">
        <v>2</v>
      </c>
      <c r="Q7" s="61">
        <v>1</v>
      </c>
      <c r="R7" s="61">
        <v>2</v>
      </c>
      <c r="S7" s="61">
        <v>1</v>
      </c>
      <c r="T7" s="37">
        <f t="shared" ref="T7:T16" si="1">SUM(E7:S7)</f>
        <v>20</v>
      </c>
      <c r="U7" s="57" t="str" cm="1">
        <f t="array" ref="U7">_xlfn.IFS( AND(T7&gt;=15,T7&lt;=25),"1", AND(T7&gt;=26,T7&lt;=35),"2", AND(T7&gt;=36,T7&lt;=45),"3")</f>
        <v>1</v>
      </c>
      <c r="V7" s="58">
        <v>3</v>
      </c>
      <c r="W7" s="58">
        <f t="shared" si="0"/>
        <v>3</v>
      </c>
      <c r="X7" s="50"/>
    </row>
    <row r="8" spans="1:24" ht="15.9" customHeight="1" x14ac:dyDescent="0.6">
      <c r="A8" s="53">
        <v>4</v>
      </c>
      <c r="B8" s="51" t="s">
        <v>84</v>
      </c>
      <c r="C8" s="63" t="s">
        <v>89</v>
      </c>
      <c r="D8" s="52" t="s">
        <v>82</v>
      </c>
      <c r="E8" s="65">
        <v>1</v>
      </c>
      <c r="F8" s="59">
        <v>1</v>
      </c>
      <c r="G8" s="59">
        <v>1</v>
      </c>
      <c r="H8" s="59">
        <v>1</v>
      </c>
      <c r="I8" s="65">
        <v>1</v>
      </c>
      <c r="J8" s="65">
        <v>1</v>
      </c>
      <c r="K8" s="65">
        <v>1</v>
      </c>
      <c r="L8" s="60">
        <v>1</v>
      </c>
      <c r="M8" s="61">
        <v>2</v>
      </c>
      <c r="N8" s="61">
        <v>2</v>
      </c>
      <c r="O8" s="61">
        <v>2</v>
      </c>
      <c r="P8" s="61">
        <v>2</v>
      </c>
      <c r="Q8" s="61">
        <v>1</v>
      </c>
      <c r="R8" s="61">
        <v>2</v>
      </c>
      <c r="S8" s="61">
        <v>1</v>
      </c>
      <c r="T8" s="37">
        <f t="shared" ref="T8" si="2">SUM(E8:S8)</f>
        <v>20</v>
      </c>
      <c r="U8" s="57" t="str" cm="1">
        <f t="array" ref="U8">_xlfn.IFS( AND(T8&gt;=15,T8&lt;=25),"1", AND(T8&gt;=26,T8&lt;=35),"2", AND(T8&gt;=36,T8&lt;=45),"3")</f>
        <v>1</v>
      </c>
      <c r="V8" s="58">
        <v>3</v>
      </c>
      <c r="W8" s="58">
        <f t="shared" si="0"/>
        <v>3</v>
      </c>
      <c r="X8" s="50"/>
    </row>
    <row r="9" spans="1:24" ht="15.9" customHeight="1" x14ac:dyDescent="0.6">
      <c r="A9" s="51">
        <v>5</v>
      </c>
      <c r="B9" s="51" t="s">
        <v>84</v>
      </c>
      <c r="C9" s="63" t="s">
        <v>90</v>
      </c>
      <c r="D9" s="52" t="s">
        <v>82</v>
      </c>
      <c r="E9" s="65">
        <v>1</v>
      </c>
      <c r="F9" s="59">
        <v>1</v>
      </c>
      <c r="G9" s="59">
        <v>1</v>
      </c>
      <c r="H9" s="59">
        <v>1</v>
      </c>
      <c r="I9" s="65">
        <v>1</v>
      </c>
      <c r="J9" s="65">
        <v>1</v>
      </c>
      <c r="K9" s="65">
        <v>1</v>
      </c>
      <c r="L9" s="60">
        <v>1</v>
      </c>
      <c r="M9" s="61">
        <v>2</v>
      </c>
      <c r="N9" s="61">
        <v>2</v>
      </c>
      <c r="O9" s="61">
        <v>2</v>
      </c>
      <c r="P9" s="61">
        <v>2</v>
      </c>
      <c r="Q9" s="61">
        <v>1</v>
      </c>
      <c r="R9" s="61">
        <v>1</v>
      </c>
      <c r="S9" s="61">
        <v>1</v>
      </c>
      <c r="T9" s="37">
        <f t="shared" si="1"/>
        <v>19</v>
      </c>
      <c r="U9" s="57" t="str" cm="1">
        <f t="array" ref="U9">_xlfn.IFS( AND(T9&gt;=15,T9&lt;=25),"1", AND(T9&gt;=26,T9&lt;=35),"2", AND(T9&gt;=36,T9&lt;=45),"3")</f>
        <v>1</v>
      </c>
      <c r="V9" s="58">
        <v>3</v>
      </c>
      <c r="W9" s="58">
        <f t="shared" si="0"/>
        <v>3</v>
      </c>
      <c r="X9" s="50"/>
    </row>
    <row r="10" spans="1:24" ht="15.9" customHeight="1" x14ac:dyDescent="0.6">
      <c r="A10" s="53">
        <v>6</v>
      </c>
      <c r="B10" s="51" t="s">
        <v>84</v>
      </c>
      <c r="C10" s="63" t="s">
        <v>91</v>
      </c>
      <c r="D10" s="52" t="s">
        <v>85</v>
      </c>
      <c r="E10" s="65">
        <v>1</v>
      </c>
      <c r="F10" s="59">
        <v>1</v>
      </c>
      <c r="G10" s="59">
        <v>1</v>
      </c>
      <c r="H10" s="59">
        <v>1</v>
      </c>
      <c r="I10" s="65">
        <v>1</v>
      </c>
      <c r="J10" s="65">
        <v>1</v>
      </c>
      <c r="K10" s="65">
        <v>1</v>
      </c>
      <c r="L10" s="60">
        <v>1</v>
      </c>
      <c r="M10" s="61">
        <v>2</v>
      </c>
      <c r="N10" s="61">
        <v>2</v>
      </c>
      <c r="O10" s="61">
        <v>2</v>
      </c>
      <c r="P10" s="61">
        <v>2</v>
      </c>
      <c r="Q10" s="61">
        <v>1</v>
      </c>
      <c r="R10" s="61">
        <v>1</v>
      </c>
      <c r="S10" s="61">
        <v>1</v>
      </c>
      <c r="T10" s="37">
        <f t="shared" si="1"/>
        <v>19</v>
      </c>
      <c r="U10" s="57" t="str" cm="1">
        <f t="array" ref="U10">_xlfn.IFS( AND(T10&gt;=15,T10&lt;=25),"1", AND(T10&gt;=26,T10&lt;=35),"2", AND(T10&gt;=36,T10&lt;=45),"3")</f>
        <v>1</v>
      </c>
      <c r="V10" s="58">
        <v>3</v>
      </c>
      <c r="W10" s="58">
        <f t="shared" si="0"/>
        <v>3</v>
      </c>
      <c r="X10" s="4"/>
    </row>
    <row r="11" spans="1:24" ht="15.9" customHeight="1" x14ac:dyDescent="0.6">
      <c r="A11" s="51">
        <v>7</v>
      </c>
      <c r="B11" s="51" t="s">
        <v>84</v>
      </c>
      <c r="C11" s="63" t="s">
        <v>92</v>
      </c>
      <c r="D11" s="52" t="s">
        <v>85</v>
      </c>
      <c r="E11" s="65">
        <v>1</v>
      </c>
      <c r="F11" s="59">
        <v>1</v>
      </c>
      <c r="G11" s="59">
        <v>1</v>
      </c>
      <c r="H11" s="59">
        <v>1</v>
      </c>
      <c r="I11" s="65">
        <v>1</v>
      </c>
      <c r="J11" s="65">
        <v>1</v>
      </c>
      <c r="K11" s="65">
        <v>1</v>
      </c>
      <c r="L11" s="60">
        <v>1</v>
      </c>
      <c r="M11" s="61">
        <v>2</v>
      </c>
      <c r="N11" s="61">
        <v>2</v>
      </c>
      <c r="O11" s="61">
        <v>2</v>
      </c>
      <c r="P11" s="61">
        <v>2</v>
      </c>
      <c r="Q11" s="61">
        <v>1</v>
      </c>
      <c r="R11" s="61">
        <v>1</v>
      </c>
      <c r="S11" s="61">
        <v>1</v>
      </c>
      <c r="T11" s="37">
        <f t="shared" si="1"/>
        <v>19</v>
      </c>
      <c r="U11" s="57" t="str" cm="1">
        <f t="array" ref="U11">_xlfn.IFS( AND(T11&gt;=15,T11&lt;=25),"1", AND(T11&gt;=26,T11&lt;=35),"2", AND(T11&gt;=36,T11&lt;=45),"3")</f>
        <v>1</v>
      </c>
      <c r="V11" s="58">
        <v>3</v>
      </c>
      <c r="W11" s="58">
        <f t="shared" si="0"/>
        <v>3</v>
      </c>
      <c r="X11" s="50"/>
    </row>
    <row r="12" spans="1:24" ht="15.9" customHeight="1" x14ac:dyDescent="0.6">
      <c r="A12" s="53">
        <v>8</v>
      </c>
      <c r="B12" s="51" t="s">
        <v>84</v>
      </c>
      <c r="C12" s="63" t="s">
        <v>93</v>
      </c>
      <c r="D12" s="52" t="s">
        <v>85</v>
      </c>
      <c r="E12" s="65">
        <v>1</v>
      </c>
      <c r="F12" s="59">
        <v>1</v>
      </c>
      <c r="G12" s="59">
        <v>1</v>
      </c>
      <c r="H12" s="59">
        <v>1</v>
      </c>
      <c r="I12" s="65">
        <v>1</v>
      </c>
      <c r="J12" s="65">
        <v>1</v>
      </c>
      <c r="K12" s="65">
        <v>1</v>
      </c>
      <c r="L12" s="60">
        <v>1</v>
      </c>
      <c r="M12" s="61">
        <v>2</v>
      </c>
      <c r="N12" s="61">
        <v>2</v>
      </c>
      <c r="O12" s="61">
        <v>2</v>
      </c>
      <c r="P12" s="61">
        <v>2</v>
      </c>
      <c r="Q12" s="61">
        <v>1</v>
      </c>
      <c r="R12" s="61">
        <v>1</v>
      </c>
      <c r="S12" s="61">
        <v>1</v>
      </c>
      <c r="T12" s="37">
        <f t="shared" si="1"/>
        <v>19</v>
      </c>
      <c r="U12" s="57" t="str" cm="1">
        <f t="array" ref="U12">_xlfn.IFS( AND(T12&gt;=15,T12&lt;=25),"1", AND(T12&gt;=26,T12&lt;=35),"2", AND(T12&gt;=36,T12&lt;=45),"3")</f>
        <v>1</v>
      </c>
      <c r="V12" s="58">
        <v>3</v>
      </c>
      <c r="W12" s="58">
        <f t="shared" si="0"/>
        <v>3</v>
      </c>
      <c r="X12" s="50"/>
    </row>
    <row r="13" spans="1:24" ht="15.9" customHeight="1" x14ac:dyDescent="0.6">
      <c r="A13" s="51">
        <v>9</v>
      </c>
      <c r="B13" s="51" t="s">
        <v>84</v>
      </c>
      <c r="C13" s="63" t="s">
        <v>94</v>
      </c>
      <c r="D13" s="5" t="s">
        <v>95</v>
      </c>
      <c r="E13" s="65">
        <v>1</v>
      </c>
      <c r="F13" s="59">
        <v>1</v>
      </c>
      <c r="G13" s="59">
        <v>1</v>
      </c>
      <c r="H13" s="59">
        <v>1</v>
      </c>
      <c r="I13" s="65">
        <v>1</v>
      </c>
      <c r="J13" s="65">
        <v>1</v>
      </c>
      <c r="K13" s="65">
        <v>1</v>
      </c>
      <c r="L13" s="60">
        <v>1</v>
      </c>
      <c r="M13" s="61">
        <v>2</v>
      </c>
      <c r="N13" s="61">
        <v>2</v>
      </c>
      <c r="O13" s="61">
        <v>2</v>
      </c>
      <c r="P13" s="61">
        <v>2</v>
      </c>
      <c r="Q13" s="61">
        <v>1</v>
      </c>
      <c r="R13" s="61">
        <v>1</v>
      </c>
      <c r="S13" s="61">
        <v>1</v>
      </c>
      <c r="T13" s="37">
        <f t="shared" si="1"/>
        <v>19</v>
      </c>
      <c r="U13" s="57" t="str" cm="1">
        <f t="array" ref="U13">_xlfn.IFS( AND(T13&gt;=15,T13&lt;=25),"1", AND(T13&gt;=26,T13&lt;=35),"2", AND(T13&gt;=36,T13&lt;=45),"3")</f>
        <v>1</v>
      </c>
      <c r="V13" s="58">
        <v>3</v>
      </c>
      <c r="W13" s="58">
        <f t="shared" si="0"/>
        <v>3</v>
      </c>
      <c r="X13" s="50"/>
    </row>
    <row r="14" spans="1:24" ht="15.9" customHeight="1" x14ac:dyDescent="0.6">
      <c r="A14" s="53">
        <v>10</v>
      </c>
      <c r="B14" s="51" t="s">
        <v>84</v>
      </c>
      <c r="C14" s="63" t="s">
        <v>96</v>
      </c>
      <c r="D14" s="5" t="s">
        <v>95</v>
      </c>
      <c r="E14" s="65">
        <v>1</v>
      </c>
      <c r="F14" s="59">
        <v>1</v>
      </c>
      <c r="G14" s="59">
        <v>1</v>
      </c>
      <c r="H14" s="59">
        <v>1</v>
      </c>
      <c r="I14" s="65">
        <v>1</v>
      </c>
      <c r="J14" s="65">
        <v>1</v>
      </c>
      <c r="K14" s="65">
        <v>1</v>
      </c>
      <c r="L14" s="60">
        <v>1</v>
      </c>
      <c r="M14" s="61">
        <v>2</v>
      </c>
      <c r="N14" s="61">
        <v>2</v>
      </c>
      <c r="O14" s="61">
        <v>2</v>
      </c>
      <c r="P14" s="61">
        <v>2</v>
      </c>
      <c r="Q14" s="61">
        <v>1</v>
      </c>
      <c r="R14" s="61">
        <v>1</v>
      </c>
      <c r="S14" s="61">
        <v>1</v>
      </c>
      <c r="T14" s="37">
        <f t="shared" si="1"/>
        <v>19</v>
      </c>
      <c r="U14" s="57" t="str" cm="1">
        <f t="array" ref="U14">_xlfn.IFS( AND(T14&gt;=15,T14&lt;=25),"1", AND(T14&gt;=26,T14&lt;=35),"2", AND(T14&gt;=36,T14&lt;=45),"3")</f>
        <v>1</v>
      </c>
      <c r="V14" s="58">
        <v>3</v>
      </c>
      <c r="W14" s="58">
        <f t="shared" si="0"/>
        <v>3</v>
      </c>
      <c r="X14" s="4"/>
    </row>
    <row r="15" spans="1:24" ht="15.9" customHeight="1" x14ac:dyDescent="0.6">
      <c r="A15" s="51">
        <v>11</v>
      </c>
      <c r="B15" s="51" t="s">
        <v>84</v>
      </c>
      <c r="C15" s="63" t="s">
        <v>97</v>
      </c>
      <c r="D15" s="5" t="s">
        <v>98</v>
      </c>
      <c r="E15" s="65">
        <v>1</v>
      </c>
      <c r="F15" s="59">
        <v>1</v>
      </c>
      <c r="G15" s="59">
        <v>1</v>
      </c>
      <c r="H15" s="59">
        <v>1</v>
      </c>
      <c r="I15" s="65">
        <v>1</v>
      </c>
      <c r="J15" s="65">
        <v>1</v>
      </c>
      <c r="K15" s="65">
        <v>1</v>
      </c>
      <c r="L15" s="60">
        <v>1</v>
      </c>
      <c r="M15" s="61">
        <v>2</v>
      </c>
      <c r="N15" s="61">
        <v>2</v>
      </c>
      <c r="O15" s="61">
        <v>2</v>
      </c>
      <c r="P15" s="61">
        <v>2</v>
      </c>
      <c r="Q15" s="61">
        <v>1</v>
      </c>
      <c r="R15" s="61">
        <v>1</v>
      </c>
      <c r="S15" s="61">
        <v>1</v>
      </c>
      <c r="T15" s="37">
        <f t="shared" si="1"/>
        <v>19</v>
      </c>
      <c r="U15" s="57" t="str" cm="1">
        <f t="array" ref="U15">_xlfn.IFS( AND(T15&gt;=15,T15&lt;=25),"1", AND(T15&gt;=26,T15&lt;=35),"2", AND(T15&gt;=36,T15&lt;=45),"3")</f>
        <v>1</v>
      </c>
      <c r="V15" s="58">
        <v>3</v>
      </c>
      <c r="W15" s="58">
        <f t="shared" si="0"/>
        <v>3</v>
      </c>
      <c r="X15" s="50"/>
    </row>
    <row r="16" spans="1:24" ht="15.9" customHeight="1" x14ac:dyDescent="0.6">
      <c r="A16" s="53">
        <v>12</v>
      </c>
      <c r="B16" s="53" t="s">
        <v>84</v>
      </c>
      <c r="C16" s="63" t="s">
        <v>99</v>
      </c>
      <c r="D16" s="52" t="s">
        <v>85</v>
      </c>
      <c r="E16" s="65">
        <v>1</v>
      </c>
      <c r="F16" s="59">
        <v>1</v>
      </c>
      <c r="G16" s="59">
        <v>1</v>
      </c>
      <c r="H16" s="59">
        <v>1</v>
      </c>
      <c r="I16" s="65">
        <v>1</v>
      </c>
      <c r="J16" s="65">
        <v>1</v>
      </c>
      <c r="K16" s="65">
        <v>1</v>
      </c>
      <c r="L16" s="60">
        <v>2</v>
      </c>
      <c r="M16" s="61">
        <v>2</v>
      </c>
      <c r="N16" s="61">
        <v>2</v>
      </c>
      <c r="O16" s="61">
        <v>2</v>
      </c>
      <c r="P16" s="61">
        <v>2</v>
      </c>
      <c r="Q16" s="61">
        <v>1</v>
      </c>
      <c r="R16" s="61">
        <v>1</v>
      </c>
      <c r="S16" s="61">
        <v>1</v>
      </c>
      <c r="T16" s="37">
        <f t="shared" si="1"/>
        <v>20</v>
      </c>
      <c r="U16" s="57" t="str" cm="1">
        <f t="array" ref="U16">_xlfn.IFS( AND(T16&gt;=15,T16&lt;=25),"1", AND(T16&gt;=26,T16&lt;=35),"2", AND(T16&gt;=36,T16&lt;=45),"3")</f>
        <v>1</v>
      </c>
      <c r="V16" s="58">
        <v>3</v>
      </c>
      <c r="W16" s="58">
        <f t="shared" si="0"/>
        <v>3</v>
      </c>
      <c r="X16" s="50"/>
    </row>
    <row r="17" spans="1:24" ht="15.9" customHeight="1" x14ac:dyDescent="0.6">
      <c r="A17" s="51">
        <v>13</v>
      </c>
      <c r="B17" s="51" t="s">
        <v>84</v>
      </c>
      <c r="C17" s="62" t="s">
        <v>100</v>
      </c>
      <c r="D17" s="52" t="s">
        <v>85</v>
      </c>
      <c r="E17" s="65">
        <v>1</v>
      </c>
      <c r="F17" s="59">
        <v>1</v>
      </c>
      <c r="G17" s="59">
        <v>1</v>
      </c>
      <c r="H17" s="59">
        <v>1</v>
      </c>
      <c r="I17" s="65">
        <v>1</v>
      </c>
      <c r="J17" s="65">
        <v>1</v>
      </c>
      <c r="K17" s="65">
        <v>1</v>
      </c>
      <c r="L17" s="60">
        <v>2</v>
      </c>
      <c r="M17" s="61">
        <v>2</v>
      </c>
      <c r="N17" s="61">
        <v>2</v>
      </c>
      <c r="O17" s="61">
        <v>2</v>
      </c>
      <c r="P17" s="61">
        <v>2</v>
      </c>
      <c r="Q17" s="61">
        <v>1</v>
      </c>
      <c r="R17" s="61">
        <v>1</v>
      </c>
      <c r="S17" s="61">
        <v>1</v>
      </c>
      <c r="T17" s="37">
        <f>SUM(E17:S17)</f>
        <v>20</v>
      </c>
      <c r="U17" s="57" t="str" cm="1">
        <f t="array" ref="U17">_xlfn.IFS( AND(T17&gt;=15,T17&lt;=25),"1", AND(T17&gt;25,T17&lt;=35),"2", AND(T17&gt;35,T17&lt;=45),"3")</f>
        <v>1</v>
      </c>
      <c r="V17" s="58">
        <v>3</v>
      </c>
      <c r="W17" s="58">
        <f>V17*U17</f>
        <v>3</v>
      </c>
      <c r="X17" s="50"/>
    </row>
    <row r="18" spans="1:24" ht="15.9" customHeight="1" x14ac:dyDescent="0.6">
      <c r="A18" s="53">
        <v>14</v>
      </c>
      <c r="B18" s="53" t="s">
        <v>84</v>
      </c>
      <c r="C18" s="63" t="s">
        <v>101</v>
      </c>
      <c r="D18" s="52" t="s">
        <v>85</v>
      </c>
      <c r="E18" s="65">
        <v>1</v>
      </c>
      <c r="F18" s="59">
        <v>1</v>
      </c>
      <c r="G18" s="59">
        <v>1</v>
      </c>
      <c r="H18" s="59">
        <v>1</v>
      </c>
      <c r="I18" s="65">
        <v>1</v>
      </c>
      <c r="J18" s="65">
        <v>1</v>
      </c>
      <c r="K18" s="65">
        <v>1</v>
      </c>
      <c r="L18" s="60">
        <v>2</v>
      </c>
      <c r="M18" s="61">
        <v>2</v>
      </c>
      <c r="N18" s="61">
        <v>2</v>
      </c>
      <c r="O18" s="61">
        <v>2</v>
      </c>
      <c r="P18" s="61">
        <v>2</v>
      </c>
      <c r="Q18" s="61">
        <v>1</v>
      </c>
      <c r="R18" s="61">
        <v>1</v>
      </c>
      <c r="S18" s="61">
        <v>1</v>
      </c>
      <c r="T18" s="37">
        <f>SUM(E18:S18)</f>
        <v>20</v>
      </c>
      <c r="U18" s="57" t="str" cm="1">
        <f t="array" ref="U18">_xlfn.IFS( AND(T18&gt;=15,T18&lt;=25),"1", AND(T18&gt;=26,T18&lt;=35),"2", AND(T18&gt;=36,T18&lt;=45),"3")</f>
        <v>1</v>
      </c>
      <c r="V18" s="58">
        <v>3</v>
      </c>
      <c r="W18" s="58">
        <f t="shared" ref="W18:W20" si="3">V18*U18</f>
        <v>3</v>
      </c>
      <c r="X18" s="4"/>
    </row>
    <row r="19" spans="1:24" ht="15.9" customHeight="1" x14ac:dyDescent="0.6">
      <c r="A19" s="51">
        <v>15</v>
      </c>
      <c r="B19" s="53" t="s">
        <v>84</v>
      </c>
      <c r="C19" s="63" t="s">
        <v>102</v>
      </c>
      <c r="D19" s="52" t="s">
        <v>85</v>
      </c>
      <c r="E19" s="65">
        <v>1</v>
      </c>
      <c r="F19" s="59">
        <v>1</v>
      </c>
      <c r="G19" s="59">
        <v>1</v>
      </c>
      <c r="H19" s="59">
        <v>1</v>
      </c>
      <c r="I19" s="65">
        <v>1</v>
      </c>
      <c r="J19" s="65">
        <v>1</v>
      </c>
      <c r="K19" s="65">
        <v>1</v>
      </c>
      <c r="L19" s="60">
        <v>1</v>
      </c>
      <c r="M19" s="61">
        <v>2</v>
      </c>
      <c r="N19" s="61">
        <v>2</v>
      </c>
      <c r="O19" s="61">
        <v>2</v>
      </c>
      <c r="P19" s="61">
        <v>2</v>
      </c>
      <c r="Q19" s="61">
        <v>1</v>
      </c>
      <c r="R19" s="61">
        <v>1</v>
      </c>
      <c r="S19" s="61">
        <v>1</v>
      </c>
      <c r="T19" s="37">
        <f t="shared" ref="T19:T20" si="4">SUM(E19:S19)</f>
        <v>19</v>
      </c>
      <c r="U19" s="57" t="str" cm="1">
        <f t="array" ref="U19">_xlfn.IFS( AND(T19&gt;=15,T19&lt;=25),"1", AND(T19&gt;=26,T19&lt;=35),"2", AND(T19&gt;=36,T19&lt;=45),"3")</f>
        <v>1</v>
      </c>
      <c r="V19" s="58">
        <v>3</v>
      </c>
      <c r="W19" s="58">
        <f t="shared" si="3"/>
        <v>3</v>
      </c>
      <c r="X19" s="50"/>
    </row>
    <row r="20" spans="1:24" ht="15.9" customHeight="1" x14ac:dyDescent="0.6">
      <c r="A20" s="53">
        <v>16</v>
      </c>
      <c r="B20" s="53" t="s">
        <v>84</v>
      </c>
      <c r="C20" s="63" t="s">
        <v>103</v>
      </c>
      <c r="D20" s="5" t="s">
        <v>105</v>
      </c>
      <c r="E20" s="65">
        <v>1</v>
      </c>
      <c r="F20" s="59">
        <v>1</v>
      </c>
      <c r="G20" s="59">
        <v>1</v>
      </c>
      <c r="H20" s="59">
        <v>1</v>
      </c>
      <c r="I20" s="65">
        <v>1</v>
      </c>
      <c r="J20" s="65">
        <v>1</v>
      </c>
      <c r="K20" s="65">
        <v>1</v>
      </c>
      <c r="L20" s="60">
        <v>1</v>
      </c>
      <c r="M20" s="61">
        <v>2</v>
      </c>
      <c r="N20" s="61">
        <v>2</v>
      </c>
      <c r="O20" s="61">
        <v>2</v>
      </c>
      <c r="P20" s="61">
        <v>2</v>
      </c>
      <c r="Q20" s="61">
        <v>1</v>
      </c>
      <c r="R20" s="61">
        <v>1</v>
      </c>
      <c r="S20" s="61">
        <v>1</v>
      </c>
      <c r="T20" s="37">
        <f t="shared" si="4"/>
        <v>19</v>
      </c>
      <c r="U20" s="57" t="str" cm="1">
        <f t="array" ref="U20">_xlfn.IFS( AND(T20&gt;=15,T20&lt;=25),"1", AND(T20&gt;=26,T20&lt;=35),"2", AND(T20&gt;=36,T20&lt;=45),"3")</f>
        <v>1</v>
      </c>
      <c r="V20" s="58">
        <v>3</v>
      </c>
      <c r="W20" s="58">
        <f t="shared" si="3"/>
        <v>3</v>
      </c>
      <c r="X20" s="50"/>
    </row>
    <row r="21" spans="1:24" ht="15.9" customHeight="1" x14ac:dyDescent="0.6">
      <c r="A21" s="53">
        <v>17</v>
      </c>
      <c r="B21" s="51" t="s">
        <v>84</v>
      </c>
      <c r="C21" s="63" t="s">
        <v>104</v>
      </c>
      <c r="D21" s="5" t="s">
        <v>105</v>
      </c>
      <c r="E21" s="65">
        <v>1</v>
      </c>
      <c r="F21" s="59">
        <v>1</v>
      </c>
      <c r="G21" s="59">
        <v>1</v>
      </c>
      <c r="H21" s="59">
        <v>1</v>
      </c>
      <c r="I21" s="65">
        <v>1</v>
      </c>
      <c r="J21" s="65">
        <v>1</v>
      </c>
      <c r="K21" s="65">
        <v>1</v>
      </c>
      <c r="L21" s="60">
        <v>1</v>
      </c>
      <c r="M21" s="61">
        <v>2</v>
      </c>
      <c r="N21" s="61">
        <v>2</v>
      </c>
      <c r="O21" s="61">
        <v>2</v>
      </c>
      <c r="P21" s="61">
        <v>2</v>
      </c>
      <c r="Q21" s="61">
        <v>1</v>
      </c>
      <c r="R21" s="61">
        <v>1</v>
      </c>
      <c r="S21" s="61">
        <v>1</v>
      </c>
      <c r="T21" s="37">
        <f>SUM(E21:S21)</f>
        <v>19</v>
      </c>
      <c r="U21" s="57" t="str">
        <f>_xlfn.IFS( AND(T21&gt;=15,T21&lt;=25),"1", AND(T21&gt;25,T21&lt;=35),"2", AND(T21&gt;35,T21&lt;=45),"3")</f>
        <v>1</v>
      </c>
      <c r="V21" s="58">
        <v>3</v>
      </c>
      <c r="W21" s="58">
        <f>V21*U21</f>
        <v>3</v>
      </c>
      <c r="X21" s="50"/>
    </row>
    <row r="22" spans="1:24" ht="15.9" customHeight="1" x14ac:dyDescent="0.6">
      <c r="A22" s="51">
        <v>18</v>
      </c>
      <c r="B22" s="53" t="s">
        <v>84</v>
      </c>
      <c r="C22" s="63" t="s">
        <v>106</v>
      </c>
      <c r="D22" s="5" t="s">
        <v>105</v>
      </c>
      <c r="E22" s="65">
        <v>1</v>
      </c>
      <c r="F22" s="59">
        <v>1</v>
      </c>
      <c r="G22" s="59">
        <v>1</v>
      </c>
      <c r="H22" s="59">
        <v>1</v>
      </c>
      <c r="I22" s="65">
        <v>1</v>
      </c>
      <c r="J22" s="65">
        <v>1</v>
      </c>
      <c r="K22" s="65">
        <v>1</v>
      </c>
      <c r="L22" s="60">
        <v>1</v>
      </c>
      <c r="M22" s="61">
        <v>2</v>
      </c>
      <c r="N22" s="61">
        <v>2</v>
      </c>
      <c r="O22" s="61">
        <v>2</v>
      </c>
      <c r="P22" s="61">
        <v>2</v>
      </c>
      <c r="Q22" s="61">
        <v>1</v>
      </c>
      <c r="R22" s="61">
        <v>1</v>
      </c>
      <c r="S22" s="61">
        <v>1</v>
      </c>
      <c r="T22" s="37">
        <f>SUM(E22:S22)</f>
        <v>19</v>
      </c>
      <c r="U22" s="57" t="str" cm="1">
        <f t="array" ref="U22">_xlfn.IFS( AND(T22&gt;=15,T22&lt;=25),"1", AND(T22&gt;=26,T22&lt;=35),"2", AND(T22&gt;=36,T22&lt;=45),"3")</f>
        <v>1</v>
      </c>
      <c r="V22" s="58">
        <v>3</v>
      </c>
      <c r="W22" s="58">
        <f t="shared" ref="W22:W32" si="5">V22*U22</f>
        <v>3</v>
      </c>
      <c r="X22" s="4"/>
    </row>
    <row r="23" spans="1:24" ht="15.9" customHeight="1" x14ac:dyDescent="0.6">
      <c r="A23" s="53">
        <v>19</v>
      </c>
      <c r="B23" s="53" t="s">
        <v>84</v>
      </c>
      <c r="C23" s="63" t="s">
        <v>107</v>
      </c>
      <c r="D23" s="5" t="s">
        <v>108</v>
      </c>
      <c r="E23" s="65">
        <v>1</v>
      </c>
      <c r="F23" s="59">
        <v>1</v>
      </c>
      <c r="G23" s="59">
        <v>1</v>
      </c>
      <c r="H23" s="59">
        <v>1</v>
      </c>
      <c r="I23" s="65">
        <v>1</v>
      </c>
      <c r="J23" s="65">
        <v>1</v>
      </c>
      <c r="K23" s="65">
        <v>1</v>
      </c>
      <c r="L23" s="60">
        <v>1</v>
      </c>
      <c r="M23" s="61">
        <v>2</v>
      </c>
      <c r="N23" s="61">
        <v>2</v>
      </c>
      <c r="O23" s="61">
        <v>2</v>
      </c>
      <c r="P23" s="61">
        <v>2</v>
      </c>
      <c r="Q23" s="61">
        <v>1</v>
      </c>
      <c r="R23" s="61">
        <v>1</v>
      </c>
      <c r="S23" s="61">
        <v>1</v>
      </c>
      <c r="T23" s="37">
        <f t="shared" ref="T23" si="6">SUM(E23:S23)</f>
        <v>19</v>
      </c>
      <c r="U23" s="57" t="str" cm="1">
        <f t="array" ref="U23">_xlfn.IFS( AND(T23&gt;=15,T23&lt;=25),"1", AND(T23&gt;=26,T23&lt;=35),"2", AND(T23&gt;=36,T23&lt;=45),"3")</f>
        <v>1</v>
      </c>
      <c r="V23" s="58">
        <v>3</v>
      </c>
      <c r="W23" s="58">
        <f t="shared" si="5"/>
        <v>3</v>
      </c>
      <c r="X23" s="50"/>
    </row>
    <row r="24" spans="1:24" ht="15.9" customHeight="1" x14ac:dyDescent="0.6">
      <c r="A24" s="51">
        <v>20</v>
      </c>
      <c r="B24" s="51" t="s">
        <v>84</v>
      </c>
      <c r="C24" s="63" t="s">
        <v>109</v>
      </c>
      <c r="D24" s="5" t="s">
        <v>108</v>
      </c>
      <c r="E24" s="65">
        <v>1</v>
      </c>
      <c r="F24" s="59">
        <v>1</v>
      </c>
      <c r="G24" s="59">
        <v>1</v>
      </c>
      <c r="H24" s="59">
        <v>1</v>
      </c>
      <c r="I24" s="65">
        <v>1</v>
      </c>
      <c r="J24" s="65">
        <v>1</v>
      </c>
      <c r="K24" s="65">
        <v>1</v>
      </c>
      <c r="L24" s="60">
        <v>1</v>
      </c>
      <c r="M24" s="61">
        <v>2</v>
      </c>
      <c r="N24" s="61">
        <v>2</v>
      </c>
      <c r="O24" s="61">
        <v>2</v>
      </c>
      <c r="P24" s="61">
        <v>2</v>
      </c>
      <c r="Q24" s="61">
        <v>1</v>
      </c>
      <c r="R24" s="61">
        <v>1</v>
      </c>
      <c r="S24" s="61">
        <v>1</v>
      </c>
      <c r="T24" s="37">
        <f t="shared" ref="T24" si="7">SUM(E24:S24)</f>
        <v>19</v>
      </c>
      <c r="U24" s="57" t="str" cm="1">
        <f t="array" ref="U24">_xlfn.IFS( AND(T24&gt;=15,T24&lt;=25),"1", AND(T24&gt;=26,T24&lt;=35),"2", AND(T24&gt;=36,T24&lt;=45),"3")</f>
        <v>1</v>
      </c>
      <c r="V24" s="58">
        <v>3</v>
      </c>
      <c r="W24" s="58">
        <f t="shared" si="5"/>
        <v>3</v>
      </c>
      <c r="X24" s="50"/>
    </row>
    <row r="25" spans="1:24" ht="15.9" customHeight="1" x14ac:dyDescent="0.6">
      <c r="A25" s="53">
        <v>21</v>
      </c>
      <c r="B25" s="53" t="s">
        <v>84</v>
      </c>
      <c r="C25" s="63" t="s">
        <v>110</v>
      </c>
      <c r="D25" s="5" t="s">
        <v>105</v>
      </c>
      <c r="E25" s="59">
        <v>1</v>
      </c>
      <c r="F25" s="59">
        <v>1</v>
      </c>
      <c r="G25" s="59">
        <v>1</v>
      </c>
      <c r="H25" s="59">
        <v>1</v>
      </c>
      <c r="I25" s="59">
        <v>1</v>
      </c>
      <c r="J25" s="59">
        <v>1</v>
      </c>
      <c r="K25" s="59">
        <v>1</v>
      </c>
      <c r="L25" s="60">
        <v>1</v>
      </c>
      <c r="M25" s="61">
        <v>2</v>
      </c>
      <c r="N25" s="61">
        <v>2</v>
      </c>
      <c r="O25" s="61">
        <v>2</v>
      </c>
      <c r="P25" s="61">
        <v>2</v>
      </c>
      <c r="Q25" s="61">
        <v>1</v>
      </c>
      <c r="R25" s="61">
        <v>1</v>
      </c>
      <c r="S25" s="61">
        <v>1</v>
      </c>
      <c r="T25" s="37">
        <f t="shared" ref="T25:T32" si="8">SUM(E25:S25)</f>
        <v>19</v>
      </c>
      <c r="U25" s="57" t="str" cm="1">
        <f t="array" ref="U25">_xlfn.IFS( AND(T25&gt;=15,T25&lt;=25),"1", AND(T25&gt;=26,T25&lt;=35),"2", AND(T25&gt;=36,T25&lt;=45),"3")</f>
        <v>1</v>
      </c>
      <c r="V25" s="58">
        <v>2</v>
      </c>
      <c r="W25" s="58">
        <f t="shared" si="5"/>
        <v>2</v>
      </c>
      <c r="X25" s="50"/>
    </row>
    <row r="26" spans="1:24" ht="15.9" customHeight="1" x14ac:dyDescent="0.6">
      <c r="A26" s="53">
        <v>22</v>
      </c>
      <c r="B26" s="51" t="s">
        <v>1</v>
      </c>
      <c r="C26" s="63" t="s">
        <v>112</v>
      </c>
      <c r="D26" s="52" t="s">
        <v>111</v>
      </c>
      <c r="E26" s="59">
        <v>2</v>
      </c>
      <c r="F26" s="59">
        <v>1</v>
      </c>
      <c r="G26" s="59">
        <v>1</v>
      </c>
      <c r="H26" s="59">
        <v>1</v>
      </c>
      <c r="I26" s="59">
        <v>2</v>
      </c>
      <c r="J26" s="59">
        <v>2</v>
      </c>
      <c r="K26" s="59">
        <v>2</v>
      </c>
      <c r="L26" s="60">
        <v>1</v>
      </c>
      <c r="M26" s="61">
        <v>2</v>
      </c>
      <c r="N26" s="61">
        <v>2</v>
      </c>
      <c r="O26" s="61">
        <v>2</v>
      </c>
      <c r="P26" s="61">
        <v>2</v>
      </c>
      <c r="Q26" s="61">
        <v>1</v>
      </c>
      <c r="R26" s="61">
        <v>2</v>
      </c>
      <c r="S26" s="61">
        <v>2</v>
      </c>
      <c r="T26" s="37">
        <f t="shared" si="8"/>
        <v>25</v>
      </c>
      <c r="U26" s="57" t="str" cm="1">
        <f t="array" ref="U26">_xlfn.IFS( AND(T26&gt;=15,T26&lt;=25),"1", AND(T26&gt;=26,T26&lt;=35),"2", AND(T26&gt;=36,T26&lt;=45),"3")</f>
        <v>1</v>
      </c>
      <c r="V26" s="58">
        <v>2</v>
      </c>
      <c r="W26" s="58">
        <f t="shared" si="5"/>
        <v>2</v>
      </c>
      <c r="X26" s="4"/>
    </row>
    <row r="27" spans="1:24" ht="15.9" customHeight="1" x14ac:dyDescent="0.6">
      <c r="A27" s="51">
        <v>23</v>
      </c>
      <c r="B27" s="51" t="s">
        <v>1</v>
      </c>
      <c r="C27" s="63" t="s">
        <v>113</v>
      </c>
      <c r="D27" s="52" t="s">
        <v>111</v>
      </c>
      <c r="E27" s="59">
        <v>1</v>
      </c>
      <c r="F27" s="59">
        <v>1</v>
      </c>
      <c r="G27" s="59">
        <v>2</v>
      </c>
      <c r="H27" s="59">
        <v>1</v>
      </c>
      <c r="I27" s="59">
        <v>1</v>
      </c>
      <c r="J27" s="59">
        <v>2</v>
      </c>
      <c r="K27" s="65">
        <v>1</v>
      </c>
      <c r="L27" s="60">
        <v>1</v>
      </c>
      <c r="M27" s="61">
        <v>2</v>
      </c>
      <c r="N27" s="61">
        <v>2</v>
      </c>
      <c r="O27" s="61">
        <v>2</v>
      </c>
      <c r="P27" s="61">
        <v>2</v>
      </c>
      <c r="Q27" s="61">
        <v>1</v>
      </c>
      <c r="R27" s="61">
        <v>2</v>
      </c>
      <c r="S27" s="61">
        <v>2</v>
      </c>
      <c r="T27" s="37">
        <f t="shared" si="8"/>
        <v>23</v>
      </c>
      <c r="U27" s="57" t="str" cm="1">
        <f t="array" ref="U27">_xlfn.IFS( AND(T27&gt;=15,T27&lt;=25),"1", AND(T27&gt;=26,T27&lt;=35),"2", AND(T27&gt;=36,T27&lt;=45),"3")</f>
        <v>1</v>
      </c>
      <c r="V27" s="58">
        <v>2</v>
      </c>
      <c r="W27" s="58">
        <f t="shared" si="5"/>
        <v>2</v>
      </c>
      <c r="X27" s="50"/>
    </row>
    <row r="28" spans="1:24" ht="15.9" customHeight="1" x14ac:dyDescent="0.6">
      <c r="A28" s="53">
        <v>24</v>
      </c>
      <c r="B28" s="51" t="s">
        <v>1</v>
      </c>
      <c r="C28" s="63" t="s">
        <v>115</v>
      </c>
      <c r="D28" s="52" t="s">
        <v>114</v>
      </c>
      <c r="E28" s="59">
        <v>1</v>
      </c>
      <c r="F28" s="59">
        <v>1</v>
      </c>
      <c r="G28" s="59">
        <v>2</v>
      </c>
      <c r="H28" s="59">
        <v>1</v>
      </c>
      <c r="I28" s="59">
        <v>1</v>
      </c>
      <c r="J28" s="59">
        <v>1</v>
      </c>
      <c r="K28" s="59">
        <v>1</v>
      </c>
      <c r="L28" s="60">
        <v>1</v>
      </c>
      <c r="M28" s="61">
        <v>2</v>
      </c>
      <c r="N28" s="61">
        <v>2</v>
      </c>
      <c r="O28" s="61">
        <v>1</v>
      </c>
      <c r="P28" s="61">
        <v>2</v>
      </c>
      <c r="Q28" s="61">
        <v>1</v>
      </c>
      <c r="R28" s="61">
        <v>1</v>
      </c>
      <c r="S28" s="61">
        <v>1</v>
      </c>
      <c r="T28" s="37">
        <f t="shared" si="8"/>
        <v>19</v>
      </c>
      <c r="U28" s="57" t="str" cm="1">
        <f t="array" ref="U28">_xlfn.IFS( AND(T28&gt;=15,T28&lt;=25),"1", AND(T28&gt;=26,T28&lt;=35),"2", AND(T28&gt;=36,T28&lt;=45),"3")</f>
        <v>1</v>
      </c>
      <c r="V28" s="58">
        <v>3</v>
      </c>
      <c r="W28" s="58">
        <f t="shared" si="5"/>
        <v>3</v>
      </c>
      <c r="X28" s="50"/>
    </row>
    <row r="29" spans="1:24" ht="15.9" customHeight="1" x14ac:dyDescent="0.6">
      <c r="A29" s="51">
        <v>25</v>
      </c>
      <c r="B29" s="51" t="s">
        <v>1</v>
      </c>
      <c r="C29" s="63" t="s">
        <v>116</v>
      </c>
      <c r="D29" s="52" t="s">
        <v>114</v>
      </c>
      <c r="E29" s="59">
        <v>1</v>
      </c>
      <c r="F29" s="59">
        <v>1</v>
      </c>
      <c r="G29" s="59">
        <v>1</v>
      </c>
      <c r="H29" s="59">
        <v>1</v>
      </c>
      <c r="I29" s="59">
        <v>1</v>
      </c>
      <c r="J29" s="59">
        <v>1</v>
      </c>
      <c r="K29" s="59">
        <v>1</v>
      </c>
      <c r="L29" s="60">
        <v>1</v>
      </c>
      <c r="M29" s="61">
        <v>2</v>
      </c>
      <c r="N29" s="61">
        <v>2</v>
      </c>
      <c r="O29" s="61">
        <v>1</v>
      </c>
      <c r="P29" s="61">
        <v>2</v>
      </c>
      <c r="Q29" s="61">
        <v>1</v>
      </c>
      <c r="R29" s="61">
        <v>1</v>
      </c>
      <c r="S29" s="61">
        <v>1</v>
      </c>
      <c r="T29" s="37">
        <f t="shared" si="8"/>
        <v>18</v>
      </c>
      <c r="U29" s="57" t="str" cm="1">
        <f t="array" ref="U29">_xlfn.IFS( AND(T29&gt;=15,T29&lt;=25),"1", AND(T29&gt;=26,T29&lt;=35),"2", AND(T29&gt;=36,T29&lt;=45),"3")</f>
        <v>1</v>
      </c>
      <c r="V29" s="58">
        <v>3</v>
      </c>
      <c r="W29" s="58">
        <f t="shared" si="5"/>
        <v>3</v>
      </c>
      <c r="X29" s="50"/>
    </row>
    <row r="30" spans="1:24" ht="15.9" customHeight="1" x14ac:dyDescent="0.6">
      <c r="A30" s="53">
        <v>26</v>
      </c>
      <c r="B30" s="51" t="s">
        <v>1</v>
      </c>
      <c r="C30" s="63" t="s">
        <v>118</v>
      </c>
      <c r="D30" s="5" t="s">
        <v>117</v>
      </c>
      <c r="E30" s="59">
        <v>1</v>
      </c>
      <c r="F30" s="59">
        <v>1</v>
      </c>
      <c r="G30" s="59">
        <v>1</v>
      </c>
      <c r="H30" s="59">
        <v>1</v>
      </c>
      <c r="I30" s="59">
        <v>1</v>
      </c>
      <c r="J30" s="59">
        <v>1</v>
      </c>
      <c r="K30" s="65">
        <v>1</v>
      </c>
      <c r="L30" s="60">
        <v>1</v>
      </c>
      <c r="M30" s="61">
        <v>2</v>
      </c>
      <c r="N30" s="61">
        <v>2</v>
      </c>
      <c r="O30" s="61">
        <v>1</v>
      </c>
      <c r="P30" s="61">
        <v>2</v>
      </c>
      <c r="Q30" s="61">
        <v>1</v>
      </c>
      <c r="R30" s="61">
        <v>2</v>
      </c>
      <c r="S30" s="61">
        <v>1</v>
      </c>
      <c r="T30" s="37">
        <f t="shared" si="8"/>
        <v>19</v>
      </c>
      <c r="U30" s="57" t="str" cm="1">
        <f t="array" ref="U30">_xlfn.IFS( AND(T30&gt;=15,T30&lt;=25),"1", AND(T30&gt;=26,T30&lt;=35),"2", AND(T30&gt;=36,T30&lt;=45),"3")</f>
        <v>1</v>
      </c>
      <c r="V30" s="58">
        <v>3</v>
      </c>
      <c r="W30" s="58">
        <f t="shared" si="5"/>
        <v>3</v>
      </c>
      <c r="X30" s="4"/>
    </row>
    <row r="31" spans="1:24" ht="15.9" customHeight="1" x14ac:dyDescent="0.6">
      <c r="A31" s="53">
        <v>27</v>
      </c>
      <c r="B31" s="51" t="s">
        <v>1</v>
      </c>
      <c r="C31" s="63" t="s">
        <v>119</v>
      </c>
      <c r="D31" s="5" t="s">
        <v>117</v>
      </c>
      <c r="E31" s="59">
        <v>1</v>
      </c>
      <c r="F31" s="59">
        <v>1</v>
      </c>
      <c r="G31" s="59">
        <v>1</v>
      </c>
      <c r="H31" s="59">
        <v>1</v>
      </c>
      <c r="I31" s="59">
        <v>1</v>
      </c>
      <c r="J31" s="59">
        <v>1</v>
      </c>
      <c r="K31" s="59">
        <v>1</v>
      </c>
      <c r="L31" s="60">
        <v>1</v>
      </c>
      <c r="M31" s="61">
        <v>2</v>
      </c>
      <c r="N31" s="61">
        <v>2</v>
      </c>
      <c r="O31" s="61">
        <v>1</v>
      </c>
      <c r="P31" s="61">
        <v>2</v>
      </c>
      <c r="Q31" s="61">
        <v>1</v>
      </c>
      <c r="R31" s="61">
        <v>2</v>
      </c>
      <c r="S31" s="61">
        <v>1</v>
      </c>
      <c r="T31" s="37">
        <f t="shared" si="8"/>
        <v>19</v>
      </c>
      <c r="U31" s="57" t="str" cm="1">
        <f t="array" ref="U31">_xlfn.IFS( AND(T31&gt;=15,T31&lt;=25),"1", AND(T31&gt;=26,T31&lt;=35),"2", AND(T31&gt;=36,T31&lt;=45),"3")</f>
        <v>1</v>
      </c>
      <c r="V31" s="58">
        <v>3</v>
      </c>
      <c r="W31" s="58">
        <f t="shared" si="5"/>
        <v>3</v>
      </c>
      <c r="X31" s="50"/>
    </row>
    <row r="32" spans="1:24" ht="15.9" customHeight="1" x14ac:dyDescent="0.6">
      <c r="A32" s="51">
        <v>28</v>
      </c>
      <c r="B32" s="51" t="s">
        <v>1</v>
      </c>
      <c r="C32" s="63" t="s">
        <v>120</v>
      </c>
      <c r="D32" s="5" t="s">
        <v>117</v>
      </c>
      <c r="E32" s="59">
        <v>1</v>
      </c>
      <c r="F32" s="59">
        <v>1</v>
      </c>
      <c r="G32" s="59">
        <v>1</v>
      </c>
      <c r="H32" s="59">
        <v>1</v>
      </c>
      <c r="I32" s="59">
        <v>1</v>
      </c>
      <c r="J32" s="59">
        <v>1</v>
      </c>
      <c r="K32" s="59">
        <v>1</v>
      </c>
      <c r="L32" s="60">
        <v>1</v>
      </c>
      <c r="M32" s="61">
        <v>2</v>
      </c>
      <c r="N32" s="61">
        <v>2</v>
      </c>
      <c r="O32" s="61">
        <v>1</v>
      </c>
      <c r="P32" s="61">
        <v>2</v>
      </c>
      <c r="Q32" s="61">
        <v>1</v>
      </c>
      <c r="R32" s="61">
        <v>2</v>
      </c>
      <c r="S32" s="61">
        <v>1</v>
      </c>
      <c r="T32" s="37">
        <f t="shared" si="8"/>
        <v>19</v>
      </c>
      <c r="U32" s="57" t="str" cm="1">
        <f t="array" ref="U32">_xlfn.IFS( AND(T32&gt;=15,T32&lt;=25),"1", AND(T32&gt;=26,T32&lt;=35),"2", AND(T32&gt;=36,T32&lt;=45),"3")</f>
        <v>1</v>
      </c>
      <c r="V32" s="58">
        <v>3</v>
      </c>
      <c r="W32" s="58">
        <f t="shared" si="5"/>
        <v>3</v>
      </c>
      <c r="X32" s="50"/>
    </row>
    <row r="33" spans="1:24" ht="15.9" customHeight="1" x14ac:dyDescent="0.6">
      <c r="A33" s="53">
        <v>29</v>
      </c>
      <c r="B33" s="51" t="s">
        <v>1</v>
      </c>
      <c r="C33" s="63" t="s">
        <v>124</v>
      </c>
      <c r="D33" s="5" t="s">
        <v>117</v>
      </c>
      <c r="E33" s="59">
        <v>1</v>
      </c>
      <c r="F33" s="59">
        <v>1</v>
      </c>
      <c r="G33" s="59">
        <v>1</v>
      </c>
      <c r="H33" s="59">
        <v>1</v>
      </c>
      <c r="I33" s="59">
        <v>1</v>
      </c>
      <c r="J33" s="59">
        <v>1</v>
      </c>
      <c r="K33" s="65">
        <v>1</v>
      </c>
      <c r="L33" s="60">
        <v>1</v>
      </c>
      <c r="M33" s="61">
        <v>2</v>
      </c>
      <c r="N33" s="61">
        <v>2</v>
      </c>
      <c r="O33" s="61">
        <v>1</v>
      </c>
      <c r="P33" s="61">
        <v>2</v>
      </c>
      <c r="Q33" s="61">
        <v>1</v>
      </c>
      <c r="R33" s="61">
        <v>2</v>
      </c>
      <c r="S33" s="61">
        <v>1</v>
      </c>
      <c r="T33" s="37">
        <f>SUM(E33:S33)</f>
        <v>19</v>
      </c>
      <c r="U33" s="57" t="str" cm="1">
        <f t="array" ref="U33">_xlfn.IFS( AND(T33&gt;=15,T33&lt;=25),"1", AND(T33&gt;25,T33&lt;=35),"2", AND(T33&gt;35,T33&lt;=45),"3")</f>
        <v>1</v>
      </c>
      <c r="V33" s="58">
        <v>3</v>
      </c>
      <c r="W33" s="58">
        <f>V33*U33</f>
        <v>3</v>
      </c>
      <c r="X33" s="50"/>
    </row>
    <row r="34" spans="1:24" ht="15.9" customHeight="1" x14ac:dyDescent="0.6">
      <c r="A34" s="51">
        <v>30</v>
      </c>
      <c r="B34" s="51" t="s">
        <v>1</v>
      </c>
      <c r="C34" s="63" t="s">
        <v>121</v>
      </c>
      <c r="D34" s="5" t="s">
        <v>117</v>
      </c>
      <c r="E34" s="59">
        <v>1</v>
      </c>
      <c r="F34" s="59">
        <v>1</v>
      </c>
      <c r="G34" s="59">
        <v>1</v>
      </c>
      <c r="H34" s="59">
        <v>1</v>
      </c>
      <c r="I34" s="59">
        <v>1</v>
      </c>
      <c r="J34" s="59">
        <v>1</v>
      </c>
      <c r="K34" s="59">
        <v>1</v>
      </c>
      <c r="L34" s="60">
        <v>1</v>
      </c>
      <c r="M34" s="61">
        <v>2</v>
      </c>
      <c r="N34" s="61">
        <v>2</v>
      </c>
      <c r="O34" s="61">
        <v>1</v>
      </c>
      <c r="P34" s="61">
        <v>2</v>
      </c>
      <c r="Q34" s="61">
        <v>1</v>
      </c>
      <c r="R34" s="61">
        <v>2</v>
      </c>
      <c r="S34" s="61">
        <v>1</v>
      </c>
      <c r="T34" s="37">
        <f>SUM(E34:S34)</f>
        <v>19</v>
      </c>
      <c r="U34" s="57" t="str" cm="1">
        <f t="array" ref="U34">_xlfn.IFS( AND(T34&gt;=15,T34&lt;=25),"1", AND(T34&gt;=26,T34&lt;=35),"2", AND(T34&gt;=36,T34&lt;=45),"3")</f>
        <v>1</v>
      </c>
      <c r="V34" s="58">
        <v>3</v>
      </c>
      <c r="W34" s="58">
        <f t="shared" ref="W34:W37" si="9">V34*U34</f>
        <v>3</v>
      </c>
      <c r="X34" s="4"/>
    </row>
    <row r="35" spans="1:24" ht="15.9" customHeight="1" x14ac:dyDescent="0.6">
      <c r="A35" s="53">
        <v>31</v>
      </c>
      <c r="B35" s="51" t="s">
        <v>1</v>
      </c>
      <c r="C35" s="63" t="s">
        <v>122</v>
      </c>
      <c r="D35" s="5" t="s">
        <v>117</v>
      </c>
      <c r="E35" s="59">
        <v>1</v>
      </c>
      <c r="F35" s="59">
        <v>1</v>
      </c>
      <c r="G35" s="59">
        <v>1</v>
      </c>
      <c r="H35" s="59">
        <v>1</v>
      </c>
      <c r="I35" s="59">
        <v>1</v>
      </c>
      <c r="J35" s="59">
        <v>1</v>
      </c>
      <c r="K35" s="59">
        <v>1</v>
      </c>
      <c r="L35" s="60">
        <v>1</v>
      </c>
      <c r="M35" s="61">
        <v>2</v>
      </c>
      <c r="N35" s="61">
        <v>2</v>
      </c>
      <c r="O35" s="61">
        <v>1</v>
      </c>
      <c r="P35" s="61">
        <v>2</v>
      </c>
      <c r="Q35" s="61">
        <v>1</v>
      </c>
      <c r="R35" s="61">
        <v>2</v>
      </c>
      <c r="S35" s="61">
        <v>1</v>
      </c>
      <c r="T35" s="37">
        <f t="shared" ref="T35:T37" si="10">SUM(E35:S35)</f>
        <v>19</v>
      </c>
      <c r="U35" s="57" t="str" cm="1">
        <f t="array" ref="U35">_xlfn.IFS( AND(T35&gt;=15,T35&lt;=25),"1", AND(T35&gt;=26,T35&lt;=35),"2", AND(T35&gt;=36,T35&lt;=45),"3")</f>
        <v>1</v>
      </c>
      <c r="V35" s="58">
        <v>3</v>
      </c>
      <c r="W35" s="58">
        <f t="shared" si="9"/>
        <v>3</v>
      </c>
      <c r="X35" s="50"/>
    </row>
    <row r="36" spans="1:24" ht="15.9" customHeight="1" x14ac:dyDescent="0.6">
      <c r="A36" s="53">
        <v>32</v>
      </c>
      <c r="B36" s="51" t="s">
        <v>1</v>
      </c>
      <c r="C36" s="63" t="s">
        <v>123</v>
      </c>
      <c r="D36" s="5" t="s">
        <v>117</v>
      </c>
      <c r="E36" s="59">
        <v>1</v>
      </c>
      <c r="F36" s="59">
        <v>1</v>
      </c>
      <c r="G36" s="59">
        <v>1</v>
      </c>
      <c r="H36" s="59">
        <v>1</v>
      </c>
      <c r="I36" s="59">
        <v>1</v>
      </c>
      <c r="J36" s="59">
        <v>1</v>
      </c>
      <c r="K36" s="65">
        <v>1</v>
      </c>
      <c r="L36" s="60">
        <v>1</v>
      </c>
      <c r="M36" s="61">
        <v>2</v>
      </c>
      <c r="N36" s="61">
        <v>2</v>
      </c>
      <c r="O36" s="61">
        <v>1</v>
      </c>
      <c r="P36" s="61">
        <v>2</v>
      </c>
      <c r="Q36" s="61">
        <v>1</v>
      </c>
      <c r="R36" s="61">
        <v>2</v>
      </c>
      <c r="S36" s="61">
        <v>1</v>
      </c>
      <c r="T36" s="37">
        <f t="shared" si="10"/>
        <v>19</v>
      </c>
      <c r="U36" s="57" t="str" cm="1">
        <f t="array" ref="U36">_xlfn.IFS( AND(T36&gt;=15,T36&lt;=25),"1", AND(T36&gt;=26,T36&lt;=35),"2", AND(T36&gt;=36,T36&lt;=45),"3")</f>
        <v>1</v>
      </c>
      <c r="V36" s="58">
        <v>3</v>
      </c>
      <c r="W36" s="58">
        <f t="shared" si="9"/>
        <v>3</v>
      </c>
      <c r="X36" s="50"/>
    </row>
    <row r="37" spans="1:24" ht="15.9" customHeight="1" x14ac:dyDescent="0.6">
      <c r="A37" s="51">
        <v>33</v>
      </c>
      <c r="B37" s="51" t="s">
        <v>1</v>
      </c>
      <c r="C37" s="63" t="s">
        <v>125</v>
      </c>
      <c r="D37" s="5" t="s">
        <v>117</v>
      </c>
      <c r="E37" s="59">
        <v>1</v>
      </c>
      <c r="F37" s="59">
        <v>1</v>
      </c>
      <c r="G37" s="59">
        <v>1</v>
      </c>
      <c r="H37" s="59">
        <v>1</v>
      </c>
      <c r="I37" s="59">
        <v>1</v>
      </c>
      <c r="J37" s="59">
        <v>1</v>
      </c>
      <c r="K37" s="59">
        <v>1</v>
      </c>
      <c r="L37" s="60">
        <v>1</v>
      </c>
      <c r="M37" s="61">
        <v>2</v>
      </c>
      <c r="N37" s="61">
        <v>2</v>
      </c>
      <c r="O37" s="61">
        <v>1</v>
      </c>
      <c r="P37" s="61">
        <v>2</v>
      </c>
      <c r="Q37" s="61">
        <v>1</v>
      </c>
      <c r="R37" s="61">
        <v>2</v>
      </c>
      <c r="S37" s="61">
        <v>1</v>
      </c>
      <c r="T37" s="37">
        <f t="shared" si="10"/>
        <v>19</v>
      </c>
      <c r="U37" s="57" t="str" cm="1">
        <f t="array" ref="U37">_xlfn.IFS( AND(T37&gt;=15,T37&lt;=25),"1", AND(T37&gt;=26,T37&lt;=35),"2", AND(T37&gt;=36,T37&lt;=45),"3")</f>
        <v>1</v>
      </c>
      <c r="V37" s="58">
        <v>3</v>
      </c>
      <c r="W37" s="58">
        <f t="shared" si="9"/>
        <v>3</v>
      </c>
      <c r="X37" s="50"/>
    </row>
    <row r="38" spans="1:24" ht="15.9" customHeight="1" x14ac:dyDescent="0.6">
      <c r="A38" s="53">
        <v>34</v>
      </c>
      <c r="B38" s="51" t="s">
        <v>1</v>
      </c>
      <c r="C38" s="63" t="s">
        <v>126</v>
      </c>
      <c r="D38" s="5" t="s">
        <v>117</v>
      </c>
      <c r="E38" s="59">
        <v>1</v>
      </c>
      <c r="F38" s="59">
        <v>1</v>
      </c>
      <c r="G38" s="59">
        <v>1</v>
      </c>
      <c r="H38" s="59">
        <v>1</v>
      </c>
      <c r="I38" s="59">
        <v>1</v>
      </c>
      <c r="J38" s="59">
        <v>1</v>
      </c>
      <c r="K38" s="59">
        <v>1</v>
      </c>
      <c r="L38" s="60">
        <v>1</v>
      </c>
      <c r="M38" s="61">
        <v>2</v>
      </c>
      <c r="N38" s="61">
        <v>2</v>
      </c>
      <c r="O38" s="61">
        <v>1</v>
      </c>
      <c r="P38" s="61">
        <v>2</v>
      </c>
      <c r="Q38" s="61">
        <v>1</v>
      </c>
      <c r="R38" s="61">
        <v>2</v>
      </c>
      <c r="S38" s="61">
        <v>1</v>
      </c>
      <c r="T38" s="37">
        <f>SUM(E38:S38)</f>
        <v>19</v>
      </c>
      <c r="U38" s="57" t="str">
        <f>_xlfn.IFS( AND(T38&gt;=15,T38&lt;=25),"1", AND(T38&gt;25,T38&lt;=35),"2", AND(T38&gt;35,T38&lt;=45),"3")</f>
        <v>1</v>
      </c>
      <c r="V38" s="58">
        <v>3</v>
      </c>
      <c r="W38" s="58">
        <f>V38*U38</f>
        <v>3</v>
      </c>
      <c r="X38" s="50"/>
    </row>
    <row r="39" spans="1:24" ht="15.9" customHeight="1" x14ac:dyDescent="0.6">
      <c r="A39" s="51">
        <v>35</v>
      </c>
      <c r="B39" s="51" t="s">
        <v>1</v>
      </c>
      <c r="C39" s="63" t="s">
        <v>127</v>
      </c>
      <c r="D39" s="5" t="s">
        <v>117</v>
      </c>
      <c r="E39" s="59">
        <v>1</v>
      </c>
      <c r="F39" s="59">
        <v>1</v>
      </c>
      <c r="G39" s="59">
        <v>1</v>
      </c>
      <c r="H39" s="59">
        <v>1</v>
      </c>
      <c r="I39" s="59">
        <v>1</v>
      </c>
      <c r="J39" s="59">
        <v>1</v>
      </c>
      <c r="K39" s="65">
        <v>1</v>
      </c>
      <c r="L39" s="60">
        <v>1</v>
      </c>
      <c r="M39" s="61">
        <v>2</v>
      </c>
      <c r="N39" s="61">
        <v>2</v>
      </c>
      <c r="O39" s="61">
        <v>1</v>
      </c>
      <c r="P39" s="61">
        <v>2</v>
      </c>
      <c r="Q39" s="61">
        <v>1</v>
      </c>
      <c r="R39" s="61">
        <v>2</v>
      </c>
      <c r="S39" s="61">
        <v>1</v>
      </c>
      <c r="T39" s="37">
        <f>SUM(E39:S39)</f>
        <v>19</v>
      </c>
      <c r="U39" s="57" t="str" cm="1">
        <f t="array" ref="U39">_xlfn.IFS( AND(T39&gt;=15,T39&lt;=25),"1", AND(T39&gt;=26,T39&lt;=35),"2", AND(T39&gt;=36,T39&lt;=45),"3")</f>
        <v>1</v>
      </c>
      <c r="V39" s="58">
        <v>3</v>
      </c>
      <c r="W39" s="58">
        <f t="shared" ref="W39:W49" si="11">V39*U39</f>
        <v>3</v>
      </c>
      <c r="X39" s="4"/>
    </row>
    <row r="40" spans="1:24" ht="15.9" customHeight="1" x14ac:dyDescent="0.6">
      <c r="A40" s="53">
        <v>36</v>
      </c>
      <c r="B40" s="51" t="s">
        <v>1</v>
      </c>
      <c r="C40" s="63" t="s">
        <v>128</v>
      </c>
      <c r="D40" s="5" t="s">
        <v>117</v>
      </c>
      <c r="E40" s="59">
        <v>1</v>
      </c>
      <c r="F40" s="59">
        <v>1</v>
      </c>
      <c r="G40" s="59">
        <v>1</v>
      </c>
      <c r="H40" s="59">
        <v>1</v>
      </c>
      <c r="I40" s="59">
        <v>1</v>
      </c>
      <c r="J40" s="59">
        <v>1</v>
      </c>
      <c r="K40" s="59">
        <v>1</v>
      </c>
      <c r="L40" s="60">
        <v>1</v>
      </c>
      <c r="M40" s="61">
        <v>2</v>
      </c>
      <c r="N40" s="61">
        <v>2</v>
      </c>
      <c r="O40" s="61">
        <v>1</v>
      </c>
      <c r="P40" s="61">
        <v>2</v>
      </c>
      <c r="Q40" s="61">
        <v>1</v>
      </c>
      <c r="R40" s="61">
        <v>2</v>
      </c>
      <c r="S40" s="61">
        <v>1</v>
      </c>
      <c r="T40" s="37">
        <f t="shared" ref="T40" si="12">SUM(E40:S40)</f>
        <v>19</v>
      </c>
      <c r="U40" s="57" t="str" cm="1">
        <f t="array" ref="U40">_xlfn.IFS( AND(T40&gt;=15,T40&lt;=25),"1", AND(T40&gt;=26,T40&lt;=35),"2", AND(T40&gt;=36,T40&lt;=45),"3")</f>
        <v>1</v>
      </c>
      <c r="V40" s="58">
        <v>3</v>
      </c>
      <c r="W40" s="58">
        <f t="shared" si="11"/>
        <v>3</v>
      </c>
      <c r="X40" s="50"/>
    </row>
    <row r="41" spans="1:24" ht="15.9" customHeight="1" x14ac:dyDescent="0.6">
      <c r="A41" s="53">
        <v>37</v>
      </c>
      <c r="B41" s="51" t="s">
        <v>1</v>
      </c>
      <c r="C41" s="63" t="s">
        <v>129</v>
      </c>
      <c r="D41" s="5" t="s">
        <v>117</v>
      </c>
      <c r="E41" s="59">
        <v>1</v>
      </c>
      <c r="F41" s="59">
        <v>1</v>
      </c>
      <c r="G41" s="59">
        <v>1</v>
      </c>
      <c r="H41" s="59">
        <v>1</v>
      </c>
      <c r="I41" s="59">
        <v>1</v>
      </c>
      <c r="J41" s="59">
        <v>1</v>
      </c>
      <c r="K41" s="59">
        <v>1</v>
      </c>
      <c r="L41" s="60">
        <v>1</v>
      </c>
      <c r="M41" s="61">
        <v>2</v>
      </c>
      <c r="N41" s="61">
        <v>2</v>
      </c>
      <c r="O41" s="61">
        <v>1</v>
      </c>
      <c r="P41" s="61">
        <v>2</v>
      </c>
      <c r="Q41" s="61">
        <v>1</v>
      </c>
      <c r="R41" s="61">
        <v>2</v>
      </c>
      <c r="S41" s="61">
        <v>1</v>
      </c>
      <c r="T41" s="37">
        <f t="shared" ref="T41" si="13">SUM(E41:S41)</f>
        <v>19</v>
      </c>
      <c r="U41" s="57" t="str" cm="1">
        <f t="array" ref="U41">_xlfn.IFS( AND(T41&gt;=15,T41&lt;=25),"1", AND(T41&gt;=26,T41&lt;=35),"2", AND(T41&gt;=36,T41&lt;=45),"3")</f>
        <v>1</v>
      </c>
      <c r="V41" s="58">
        <v>3</v>
      </c>
      <c r="W41" s="58">
        <f t="shared" si="11"/>
        <v>3</v>
      </c>
      <c r="X41" s="50"/>
    </row>
    <row r="42" spans="1:24" ht="15.9" customHeight="1" x14ac:dyDescent="0.6">
      <c r="A42" s="51">
        <v>38</v>
      </c>
      <c r="B42" s="51" t="s">
        <v>1</v>
      </c>
      <c r="C42" s="63" t="s">
        <v>130</v>
      </c>
      <c r="D42" s="5" t="s">
        <v>117</v>
      </c>
      <c r="E42" s="59">
        <v>1</v>
      </c>
      <c r="F42" s="59">
        <v>1</v>
      </c>
      <c r="G42" s="59">
        <v>1</v>
      </c>
      <c r="H42" s="59">
        <v>1</v>
      </c>
      <c r="I42" s="59">
        <v>1</v>
      </c>
      <c r="J42" s="59">
        <v>1</v>
      </c>
      <c r="K42" s="65">
        <v>1</v>
      </c>
      <c r="L42" s="60">
        <v>1</v>
      </c>
      <c r="M42" s="61">
        <v>2</v>
      </c>
      <c r="N42" s="61">
        <v>2</v>
      </c>
      <c r="O42" s="61">
        <v>1</v>
      </c>
      <c r="P42" s="61">
        <v>2</v>
      </c>
      <c r="Q42" s="61">
        <v>1</v>
      </c>
      <c r="R42" s="61">
        <v>2</v>
      </c>
      <c r="S42" s="61">
        <v>1</v>
      </c>
      <c r="T42" s="37">
        <f t="shared" ref="T42:T49" si="14">SUM(E42:S42)</f>
        <v>19</v>
      </c>
      <c r="U42" s="57" t="str" cm="1">
        <f t="array" ref="U42">_xlfn.IFS( AND(T42&gt;=15,T42&lt;=25),"1", AND(T42&gt;=26,T42&lt;=35),"2", AND(T42&gt;=36,T42&lt;=45),"3")</f>
        <v>1</v>
      </c>
      <c r="V42" s="58">
        <v>3</v>
      </c>
      <c r="W42" s="58">
        <f t="shared" si="11"/>
        <v>3</v>
      </c>
      <c r="X42" s="50"/>
    </row>
    <row r="43" spans="1:24" ht="15.9" customHeight="1" x14ac:dyDescent="0.6">
      <c r="A43" s="53">
        <v>39</v>
      </c>
      <c r="B43" s="51" t="s">
        <v>1</v>
      </c>
      <c r="C43" s="63" t="s">
        <v>131</v>
      </c>
      <c r="D43" s="5" t="s">
        <v>117</v>
      </c>
      <c r="E43" s="59">
        <v>1</v>
      </c>
      <c r="F43" s="59">
        <v>1</v>
      </c>
      <c r="G43" s="59">
        <v>1</v>
      </c>
      <c r="H43" s="59">
        <v>1</v>
      </c>
      <c r="I43" s="59">
        <v>1</v>
      </c>
      <c r="J43" s="59">
        <v>1</v>
      </c>
      <c r="K43" s="59">
        <v>1</v>
      </c>
      <c r="L43" s="60">
        <v>1</v>
      </c>
      <c r="M43" s="61">
        <v>2</v>
      </c>
      <c r="N43" s="61">
        <v>2</v>
      </c>
      <c r="O43" s="61">
        <v>1</v>
      </c>
      <c r="P43" s="61">
        <v>2</v>
      </c>
      <c r="Q43" s="61">
        <v>1</v>
      </c>
      <c r="R43" s="61">
        <v>2</v>
      </c>
      <c r="S43" s="61">
        <v>1</v>
      </c>
      <c r="T43" s="37">
        <f t="shared" si="14"/>
        <v>19</v>
      </c>
      <c r="U43" s="57" t="str" cm="1">
        <f t="array" ref="U43">_xlfn.IFS( AND(T43&gt;=15,T43&lt;=25),"1", AND(T43&gt;=26,T43&lt;=35),"2", AND(T43&gt;=36,T43&lt;=45),"3")</f>
        <v>1</v>
      </c>
      <c r="V43" s="58">
        <v>3</v>
      </c>
      <c r="W43" s="58">
        <f t="shared" si="11"/>
        <v>3</v>
      </c>
      <c r="X43" s="4"/>
    </row>
    <row r="44" spans="1:24" ht="15.9" customHeight="1" x14ac:dyDescent="0.6">
      <c r="A44" s="51">
        <v>40</v>
      </c>
      <c r="B44" s="51" t="s">
        <v>1</v>
      </c>
      <c r="C44" s="63" t="s">
        <v>132</v>
      </c>
      <c r="D44" s="5" t="s">
        <v>117</v>
      </c>
      <c r="E44" s="59">
        <v>1</v>
      </c>
      <c r="F44" s="59">
        <v>1</v>
      </c>
      <c r="G44" s="59">
        <v>1</v>
      </c>
      <c r="H44" s="59">
        <v>1</v>
      </c>
      <c r="I44" s="59">
        <v>1</v>
      </c>
      <c r="J44" s="59">
        <v>1</v>
      </c>
      <c r="K44" s="59">
        <v>1</v>
      </c>
      <c r="L44" s="60">
        <v>1</v>
      </c>
      <c r="M44" s="61">
        <v>2</v>
      </c>
      <c r="N44" s="61">
        <v>2</v>
      </c>
      <c r="O44" s="61">
        <v>1</v>
      </c>
      <c r="P44" s="61">
        <v>2</v>
      </c>
      <c r="Q44" s="61">
        <v>1</v>
      </c>
      <c r="R44" s="61">
        <v>2</v>
      </c>
      <c r="S44" s="61">
        <v>1</v>
      </c>
      <c r="T44" s="37">
        <f t="shared" si="14"/>
        <v>19</v>
      </c>
      <c r="U44" s="57" t="str" cm="1">
        <f t="array" ref="U44">_xlfn.IFS( AND(T44&gt;=15,T44&lt;=25),"1", AND(T44&gt;=26,T44&lt;=35),"2", AND(T44&gt;=36,T44&lt;=45),"3")</f>
        <v>1</v>
      </c>
      <c r="V44" s="58">
        <v>3</v>
      </c>
      <c r="W44" s="58">
        <f t="shared" si="11"/>
        <v>3</v>
      </c>
      <c r="X44" s="50"/>
    </row>
    <row r="45" spans="1:24" ht="15.9" customHeight="1" x14ac:dyDescent="0.6">
      <c r="A45" s="53">
        <v>41</v>
      </c>
      <c r="B45" s="51" t="s">
        <v>1</v>
      </c>
      <c r="C45" s="63" t="s">
        <v>133</v>
      </c>
      <c r="D45" s="5" t="s">
        <v>117</v>
      </c>
      <c r="E45" s="59">
        <v>1</v>
      </c>
      <c r="F45" s="59">
        <v>1</v>
      </c>
      <c r="G45" s="59"/>
      <c r="H45" s="59">
        <v>1</v>
      </c>
      <c r="I45" s="59">
        <v>1</v>
      </c>
      <c r="J45" s="59">
        <v>1</v>
      </c>
      <c r="K45" s="65">
        <v>1</v>
      </c>
      <c r="L45" s="60">
        <v>1</v>
      </c>
      <c r="M45" s="61">
        <v>2</v>
      </c>
      <c r="N45" s="61">
        <v>2</v>
      </c>
      <c r="O45" s="61">
        <v>1</v>
      </c>
      <c r="P45" s="61">
        <v>2</v>
      </c>
      <c r="Q45" s="61">
        <v>1</v>
      </c>
      <c r="R45" s="61">
        <v>2</v>
      </c>
      <c r="S45" s="61">
        <v>1</v>
      </c>
      <c r="T45" s="37">
        <f t="shared" si="14"/>
        <v>18</v>
      </c>
      <c r="U45" s="57" t="str" cm="1">
        <f t="array" ref="U45">_xlfn.IFS( AND(T45&gt;=15,T45&lt;=25),"1", AND(T45&gt;=26,T45&lt;=35),"2", AND(T45&gt;=36,T45&lt;=45),"3")</f>
        <v>1</v>
      </c>
      <c r="V45" s="58">
        <v>3</v>
      </c>
      <c r="W45" s="58">
        <f t="shared" si="11"/>
        <v>3</v>
      </c>
      <c r="X45" s="50"/>
    </row>
    <row r="46" spans="1:24" ht="15.9" customHeight="1" x14ac:dyDescent="0.6">
      <c r="A46" s="53">
        <v>42</v>
      </c>
      <c r="B46" s="51" t="s">
        <v>1</v>
      </c>
      <c r="C46" s="63" t="s">
        <v>134</v>
      </c>
      <c r="D46" s="5" t="s">
        <v>117</v>
      </c>
      <c r="E46" s="59">
        <v>1</v>
      </c>
      <c r="F46" s="59">
        <v>1</v>
      </c>
      <c r="G46" s="59">
        <v>1</v>
      </c>
      <c r="H46" s="59">
        <v>1</v>
      </c>
      <c r="I46" s="59">
        <v>1</v>
      </c>
      <c r="J46" s="59">
        <v>1</v>
      </c>
      <c r="K46" s="59">
        <v>1</v>
      </c>
      <c r="L46" s="60">
        <v>1</v>
      </c>
      <c r="M46" s="61">
        <v>2</v>
      </c>
      <c r="N46" s="61">
        <v>2</v>
      </c>
      <c r="O46" s="61">
        <v>1</v>
      </c>
      <c r="P46" s="61">
        <v>2</v>
      </c>
      <c r="Q46" s="61">
        <v>1</v>
      </c>
      <c r="R46" s="61">
        <v>2</v>
      </c>
      <c r="S46" s="61">
        <v>1</v>
      </c>
      <c r="T46" s="37">
        <f t="shared" si="14"/>
        <v>19</v>
      </c>
      <c r="U46" s="57" t="str" cm="1">
        <f t="array" ref="U46">_xlfn.IFS( AND(T46&gt;=15,T46&lt;=25),"1", AND(T46&gt;=26,T46&lt;=35),"2", AND(T46&gt;=36,T46&lt;=45),"3")</f>
        <v>1</v>
      </c>
      <c r="V46" s="58">
        <v>3</v>
      </c>
      <c r="W46" s="58">
        <f t="shared" si="11"/>
        <v>3</v>
      </c>
      <c r="X46" s="50"/>
    </row>
    <row r="47" spans="1:24" ht="15.9" customHeight="1" x14ac:dyDescent="0.6">
      <c r="A47" s="51">
        <v>43</v>
      </c>
      <c r="B47" s="51" t="s">
        <v>1</v>
      </c>
      <c r="C47" s="63" t="s">
        <v>135</v>
      </c>
      <c r="D47" s="5" t="s">
        <v>117</v>
      </c>
      <c r="E47" s="59">
        <v>1</v>
      </c>
      <c r="F47" s="59">
        <v>1</v>
      </c>
      <c r="G47" s="59">
        <v>1</v>
      </c>
      <c r="H47" s="59">
        <v>1</v>
      </c>
      <c r="I47" s="59">
        <v>1</v>
      </c>
      <c r="J47" s="59">
        <v>1</v>
      </c>
      <c r="K47" s="59">
        <v>1</v>
      </c>
      <c r="L47" s="60">
        <v>1</v>
      </c>
      <c r="M47" s="61">
        <v>2</v>
      </c>
      <c r="N47" s="61">
        <v>2</v>
      </c>
      <c r="O47" s="61">
        <v>1</v>
      </c>
      <c r="P47" s="61">
        <v>2</v>
      </c>
      <c r="Q47" s="61">
        <v>1</v>
      </c>
      <c r="R47" s="61">
        <v>2</v>
      </c>
      <c r="S47" s="61">
        <v>1</v>
      </c>
      <c r="T47" s="37">
        <f t="shared" si="14"/>
        <v>19</v>
      </c>
      <c r="U47" s="57" t="str" cm="1">
        <f t="array" ref="U47">_xlfn.IFS( AND(T47&gt;=15,T47&lt;=25),"1", AND(T47&gt;=26,T47&lt;=35),"2", AND(T47&gt;=36,T47&lt;=45),"3")</f>
        <v>1</v>
      </c>
      <c r="V47" s="58">
        <v>3</v>
      </c>
      <c r="W47" s="58">
        <f t="shared" si="11"/>
        <v>3</v>
      </c>
      <c r="X47" s="4"/>
    </row>
    <row r="48" spans="1:24" ht="15.9" customHeight="1" x14ac:dyDescent="0.6">
      <c r="A48" s="53">
        <v>44</v>
      </c>
      <c r="B48" s="51" t="s">
        <v>1</v>
      </c>
      <c r="C48" s="63" t="s">
        <v>137</v>
      </c>
      <c r="D48" s="5" t="s">
        <v>136</v>
      </c>
      <c r="E48" s="59">
        <v>2</v>
      </c>
      <c r="F48" s="59">
        <v>1</v>
      </c>
      <c r="G48" s="59">
        <v>2</v>
      </c>
      <c r="H48" s="59">
        <v>1</v>
      </c>
      <c r="I48" s="59">
        <v>1</v>
      </c>
      <c r="J48" s="59">
        <v>2</v>
      </c>
      <c r="K48" s="59">
        <v>2</v>
      </c>
      <c r="L48" s="60">
        <v>1</v>
      </c>
      <c r="M48" s="61">
        <v>2</v>
      </c>
      <c r="N48" s="61">
        <v>2</v>
      </c>
      <c r="O48" s="61">
        <v>2</v>
      </c>
      <c r="P48" s="61">
        <v>2</v>
      </c>
      <c r="Q48" s="61">
        <v>1</v>
      </c>
      <c r="R48" s="61">
        <v>2</v>
      </c>
      <c r="S48" s="61">
        <v>2</v>
      </c>
      <c r="T48" s="37">
        <f t="shared" si="14"/>
        <v>25</v>
      </c>
      <c r="U48" s="57" t="str" cm="1">
        <f t="array" ref="U48">_xlfn.IFS( AND(T48&gt;=15,T48&lt;=25),"1", AND(T48&gt;=26,T48&lt;=35),"2", AND(T48&gt;=36,T48&lt;=45),"3")</f>
        <v>1</v>
      </c>
      <c r="V48" s="58">
        <v>2</v>
      </c>
      <c r="W48" s="58">
        <f t="shared" si="11"/>
        <v>2</v>
      </c>
      <c r="X48" s="50"/>
    </row>
    <row r="49" spans="1:24" ht="15.9" customHeight="1" x14ac:dyDescent="0.6">
      <c r="A49" s="51">
        <v>45</v>
      </c>
      <c r="B49" s="51" t="s">
        <v>1</v>
      </c>
      <c r="C49" s="63" t="s">
        <v>138</v>
      </c>
      <c r="D49" s="52" t="s">
        <v>111</v>
      </c>
      <c r="E49" s="59">
        <v>2</v>
      </c>
      <c r="F49" s="59">
        <v>1</v>
      </c>
      <c r="G49" s="59">
        <v>2</v>
      </c>
      <c r="H49" s="59">
        <v>1</v>
      </c>
      <c r="I49" s="59">
        <v>1</v>
      </c>
      <c r="J49" s="59">
        <v>2</v>
      </c>
      <c r="K49" s="59">
        <v>2</v>
      </c>
      <c r="L49" s="60">
        <v>1</v>
      </c>
      <c r="M49" s="61">
        <v>2</v>
      </c>
      <c r="N49" s="61">
        <v>2</v>
      </c>
      <c r="O49" s="61">
        <v>2</v>
      </c>
      <c r="P49" s="61">
        <v>2</v>
      </c>
      <c r="Q49" s="61">
        <v>1</v>
      </c>
      <c r="R49" s="61">
        <v>2</v>
      </c>
      <c r="S49" s="61">
        <v>2</v>
      </c>
      <c r="T49" s="37">
        <f t="shared" si="14"/>
        <v>25</v>
      </c>
      <c r="U49" s="57" t="str" cm="1">
        <f t="array" ref="U49">_xlfn.IFS( AND(T49&gt;=15,T49&lt;=25),"1", AND(T49&gt;=26,T49&lt;=35),"2", AND(T49&gt;=36,T49&lt;=45),"3")</f>
        <v>1</v>
      </c>
      <c r="V49" s="58">
        <v>2</v>
      </c>
      <c r="W49" s="58">
        <f t="shared" si="11"/>
        <v>2</v>
      </c>
      <c r="X49" s="50"/>
    </row>
    <row r="50" spans="1:24" ht="15.9" customHeight="1" x14ac:dyDescent="0.6">
      <c r="A50" s="53">
        <v>46</v>
      </c>
      <c r="B50" s="51" t="s">
        <v>1</v>
      </c>
      <c r="C50" s="63" t="s">
        <v>139</v>
      </c>
      <c r="D50" s="52" t="s">
        <v>111</v>
      </c>
      <c r="E50" s="59">
        <v>2</v>
      </c>
      <c r="F50" s="59">
        <v>1</v>
      </c>
      <c r="G50" s="59">
        <v>2</v>
      </c>
      <c r="H50" s="59">
        <v>1</v>
      </c>
      <c r="I50" s="59">
        <v>1</v>
      </c>
      <c r="J50" s="59">
        <v>1</v>
      </c>
      <c r="K50" s="59">
        <v>2</v>
      </c>
      <c r="L50" s="60">
        <v>1</v>
      </c>
      <c r="M50" s="61">
        <v>3</v>
      </c>
      <c r="N50" s="61">
        <v>2</v>
      </c>
      <c r="O50" s="61">
        <v>2</v>
      </c>
      <c r="P50" s="61">
        <v>2</v>
      </c>
      <c r="Q50" s="61">
        <v>1</v>
      </c>
      <c r="R50" s="61">
        <v>2</v>
      </c>
      <c r="S50" s="61">
        <v>2</v>
      </c>
      <c r="T50" s="37">
        <f>SUM(E50:S50)</f>
        <v>25</v>
      </c>
      <c r="U50" s="57" t="str" cm="1">
        <f t="array" ref="U50">_xlfn.IFS( AND(T50&gt;=15,T50&lt;=25),"1", AND(T50&gt;25,T50&lt;=35),"2", AND(T50&gt;35,T50&lt;=45),"3")</f>
        <v>1</v>
      </c>
      <c r="V50" s="58">
        <v>2</v>
      </c>
      <c r="W50" s="58">
        <f>V50*U50</f>
        <v>2</v>
      </c>
      <c r="X50" s="50"/>
    </row>
    <row r="51" spans="1:24" ht="15.9" customHeight="1" x14ac:dyDescent="0.6">
      <c r="A51" s="53">
        <v>47</v>
      </c>
      <c r="B51" s="51" t="s">
        <v>1</v>
      </c>
      <c r="C51" s="63" t="s">
        <v>140</v>
      </c>
      <c r="D51" s="52" t="s">
        <v>219</v>
      </c>
      <c r="E51" s="59">
        <v>2</v>
      </c>
      <c r="F51" s="59">
        <v>1</v>
      </c>
      <c r="G51" s="59">
        <v>2</v>
      </c>
      <c r="H51" s="59">
        <v>1</v>
      </c>
      <c r="I51" s="59">
        <v>2</v>
      </c>
      <c r="J51" s="59">
        <v>1</v>
      </c>
      <c r="K51" s="59">
        <v>1</v>
      </c>
      <c r="L51" s="60">
        <v>2</v>
      </c>
      <c r="M51" s="61">
        <v>3</v>
      </c>
      <c r="N51" s="61">
        <v>2</v>
      </c>
      <c r="O51" s="61">
        <v>2</v>
      </c>
      <c r="P51" s="61">
        <v>2</v>
      </c>
      <c r="Q51" s="61">
        <v>1</v>
      </c>
      <c r="R51" s="61">
        <v>3</v>
      </c>
      <c r="S51" s="61">
        <v>3</v>
      </c>
      <c r="T51" s="37">
        <f>SUM(E51:S51)</f>
        <v>28</v>
      </c>
      <c r="U51" s="57" t="str" cm="1">
        <f t="array" ref="U51">_xlfn.IFS( AND(T51&gt;=15,T51&lt;=25),"1", AND(T51&gt;=26,T51&lt;=35),"2", AND(T51&gt;=36,T51&lt;=45),"3")</f>
        <v>2</v>
      </c>
      <c r="V51" s="58">
        <v>3</v>
      </c>
      <c r="W51" s="58">
        <f t="shared" ref="W51:W64" si="15">V51*U51</f>
        <v>6</v>
      </c>
      <c r="X51" s="50" t="s">
        <v>220</v>
      </c>
    </row>
    <row r="52" spans="1:24" ht="15.9" customHeight="1" x14ac:dyDescent="0.6">
      <c r="A52" s="51">
        <v>48</v>
      </c>
      <c r="B52" s="51" t="s">
        <v>1</v>
      </c>
      <c r="C52" s="63" t="s">
        <v>141</v>
      </c>
      <c r="D52" s="52" t="s">
        <v>219</v>
      </c>
      <c r="E52" s="59">
        <v>2</v>
      </c>
      <c r="F52" s="59">
        <v>1</v>
      </c>
      <c r="G52" s="59">
        <v>2</v>
      </c>
      <c r="H52" s="59">
        <v>1</v>
      </c>
      <c r="I52" s="59">
        <v>2</v>
      </c>
      <c r="J52" s="59">
        <v>2</v>
      </c>
      <c r="K52" s="59">
        <v>1</v>
      </c>
      <c r="L52" s="60">
        <v>2</v>
      </c>
      <c r="M52" s="61">
        <v>3</v>
      </c>
      <c r="N52" s="61">
        <v>2</v>
      </c>
      <c r="O52" s="61">
        <v>2</v>
      </c>
      <c r="P52" s="61">
        <v>2</v>
      </c>
      <c r="Q52" s="61">
        <v>1</v>
      </c>
      <c r="R52" s="61">
        <v>3</v>
      </c>
      <c r="S52" s="61">
        <v>3</v>
      </c>
      <c r="T52" s="37">
        <f t="shared" ref="T52:T53" si="16">SUM(E52:S52)</f>
        <v>29</v>
      </c>
      <c r="U52" s="57" t="str" cm="1">
        <f t="array" ref="U52">_xlfn.IFS( AND(T52&gt;=15,T52&lt;=25),"1", AND(T52&gt;=26,T52&lt;=35),"2", AND(T52&gt;=36,T52&lt;=45),"3")</f>
        <v>2</v>
      </c>
      <c r="V52" s="58">
        <v>3</v>
      </c>
      <c r="W52" s="58">
        <f t="shared" si="15"/>
        <v>6</v>
      </c>
      <c r="X52" s="50" t="s">
        <v>220</v>
      </c>
    </row>
    <row r="53" spans="1:24" ht="15.9" customHeight="1" x14ac:dyDescent="0.6">
      <c r="A53" s="53">
        <v>49</v>
      </c>
      <c r="B53" s="51" t="s">
        <v>1</v>
      </c>
      <c r="C53" s="63" t="s">
        <v>142</v>
      </c>
      <c r="D53" s="52" t="s">
        <v>219</v>
      </c>
      <c r="E53" s="59">
        <v>2</v>
      </c>
      <c r="F53" s="59">
        <v>1</v>
      </c>
      <c r="G53" s="59">
        <v>1</v>
      </c>
      <c r="H53" s="59">
        <v>1</v>
      </c>
      <c r="I53" s="59">
        <v>2</v>
      </c>
      <c r="J53" s="59">
        <v>1</v>
      </c>
      <c r="K53" s="59">
        <v>1</v>
      </c>
      <c r="L53" s="60">
        <v>2</v>
      </c>
      <c r="M53" s="61">
        <v>3</v>
      </c>
      <c r="N53" s="61">
        <v>2</v>
      </c>
      <c r="O53" s="61">
        <v>2</v>
      </c>
      <c r="P53" s="61">
        <v>2</v>
      </c>
      <c r="Q53" s="61">
        <v>1</v>
      </c>
      <c r="R53" s="61">
        <v>3</v>
      </c>
      <c r="S53" s="61">
        <v>3</v>
      </c>
      <c r="T53" s="37">
        <f t="shared" si="16"/>
        <v>27</v>
      </c>
      <c r="U53" s="57" t="str" cm="1">
        <f t="array" ref="U53">_xlfn.IFS( AND(T53&gt;=15,T53&lt;=25),"1", AND(T53&gt;=26,T53&lt;=35),"2", AND(T53&gt;=36,T53&lt;=45),"3")</f>
        <v>2</v>
      </c>
      <c r="V53" s="58">
        <v>3</v>
      </c>
      <c r="W53" s="58">
        <f t="shared" si="15"/>
        <v>6</v>
      </c>
      <c r="X53" s="50" t="s">
        <v>220</v>
      </c>
    </row>
    <row r="54" spans="1:24" ht="15.9" customHeight="1" x14ac:dyDescent="0.6">
      <c r="A54" s="51">
        <v>50</v>
      </c>
      <c r="B54" s="51" t="s">
        <v>1</v>
      </c>
      <c r="C54" s="63" t="s">
        <v>143</v>
      </c>
      <c r="D54" s="52" t="s">
        <v>219</v>
      </c>
      <c r="E54" s="59">
        <v>2</v>
      </c>
      <c r="F54" s="59">
        <v>1</v>
      </c>
      <c r="G54" s="59">
        <v>1</v>
      </c>
      <c r="H54" s="59">
        <v>1</v>
      </c>
      <c r="I54" s="59">
        <v>2</v>
      </c>
      <c r="J54" s="59">
        <v>2</v>
      </c>
      <c r="K54" s="59">
        <v>1</v>
      </c>
      <c r="L54" s="60">
        <v>2</v>
      </c>
      <c r="M54" s="61">
        <v>3</v>
      </c>
      <c r="N54" s="61">
        <v>2</v>
      </c>
      <c r="O54" s="61">
        <v>1</v>
      </c>
      <c r="P54" s="61">
        <v>2</v>
      </c>
      <c r="Q54" s="61">
        <v>1</v>
      </c>
      <c r="R54" s="61">
        <v>3</v>
      </c>
      <c r="S54" s="61">
        <v>3</v>
      </c>
      <c r="T54" s="37">
        <f>SUM(E54:S54)</f>
        <v>27</v>
      </c>
      <c r="U54" s="57" t="str" cm="1">
        <f t="array" ref="U54">_xlfn.IFS( AND(T54&gt;=15,T54&lt;=25),"1", AND(T54&gt;=26,T54&lt;=35),"2", AND(T54&gt;=36,T54&lt;=45),"3")</f>
        <v>2</v>
      </c>
      <c r="V54" s="58">
        <v>3</v>
      </c>
      <c r="W54" s="58">
        <f t="shared" si="15"/>
        <v>6</v>
      </c>
      <c r="X54" s="50" t="s">
        <v>220</v>
      </c>
    </row>
    <row r="55" spans="1:24" ht="15.9" customHeight="1" x14ac:dyDescent="0.6">
      <c r="A55" s="53">
        <v>51</v>
      </c>
      <c r="B55" s="51" t="s">
        <v>1</v>
      </c>
      <c r="C55" s="63" t="s">
        <v>146</v>
      </c>
      <c r="D55" s="52" t="s">
        <v>145</v>
      </c>
      <c r="E55" s="59">
        <v>1</v>
      </c>
      <c r="F55" s="59">
        <v>1</v>
      </c>
      <c r="G55" s="59">
        <v>2</v>
      </c>
      <c r="H55" s="59">
        <v>1</v>
      </c>
      <c r="I55" s="59">
        <v>1</v>
      </c>
      <c r="J55" s="59">
        <v>2</v>
      </c>
      <c r="K55" s="59">
        <v>2</v>
      </c>
      <c r="L55" s="60">
        <v>1</v>
      </c>
      <c r="M55" s="61">
        <v>1</v>
      </c>
      <c r="N55" s="61">
        <v>2</v>
      </c>
      <c r="O55" s="61">
        <v>1</v>
      </c>
      <c r="P55" s="61">
        <v>2</v>
      </c>
      <c r="Q55" s="61">
        <v>1</v>
      </c>
      <c r="R55" s="61">
        <v>1</v>
      </c>
      <c r="S55" s="61">
        <v>2</v>
      </c>
      <c r="T55" s="37">
        <f t="shared" ref="T55" si="17">SUM(E55:S55)</f>
        <v>21</v>
      </c>
      <c r="U55" s="57" t="str" cm="1">
        <f t="array" ref="U55">_xlfn.IFS( AND(T55&gt;=15,T55&lt;=25),"1", AND(T55&gt;=26,T55&lt;=35),"2", AND(T55&gt;=36,T55&lt;=45),"3")</f>
        <v>1</v>
      </c>
      <c r="V55" s="58">
        <v>2</v>
      </c>
      <c r="W55" s="58">
        <f t="shared" si="15"/>
        <v>2</v>
      </c>
      <c r="X55" s="50"/>
    </row>
    <row r="56" spans="1:24" ht="15.9" customHeight="1" x14ac:dyDescent="0.6">
      <c r="A56" s="53">
        <v>52</v>
      </c>
      <c r="B56" s="51" t="s">
        <v>1</v>
      </c>
      <c r="C56" s="63" t="s">
        <v>147</v>
      </c>
      <c r="D56" s="52" t="s">
        <v>145</v>
      </c>
      <c r="E56" s="59">
        <v>1</v>
      </c>
      <c r="F56" s="59">
        <v>1</v>
      </c>
      <c r="G56" s="59">
        <v>2</v>
      </c>
      <c r="H56" s="59">
        <v>1</v>
      </c>
      <c r="I56" s="59">
        <v>1</v>
      </c>
      <c r="J56" s="59">
        <v>2</v>
      </c>
      <c r="K56" s="59">
        <v>2</v>
      </c>
      <c r="L56" s="60">
        <v>1</v>
      </c>
      <c r="M56" s="61">
        <v>1</v>
      </c>
      <c r="N56" s="61">
        <v>2</v>
      </c>
      <c r="O56" s="61">
        <v>1</v>
      </c>
      <c r="P56" s="61">
        <v>2</v>
      </c>
      <c r="Q56" s="61">
        <v>1</v>
      </c>
      <c r="R56" s="61">
        <v>1</v>
      </c>
      <c r="S56" s="61">
        <v>2</v>
      </c>
      <c r="T56" s="37">
        <f t="shared" ref="T56" si="18">SUM(E56:S56)</f>
        <v>21</v>
      </c>
      <c r="U56" s="57" t="str" cm="1">
        <f t="array" ref="U56">_xlfn.IFS( AND(T56&gt;=15,T56&lt;=25),"1", AND(T56&gt;=26,T56&lt;=35),"2", AND(T56&gt;=36,T56&lt;=45),"3")</f>
        <v>1</v>
      </c>
      <c r="V56" s="58">
        <v>2</v>
      </c>
      <c r="W56" s="58">
        <f t="shared" si="15"/>
        <v>2</v>
      </c>
      <c r="X56" s="50"/>
    </row>
    <row r="57" spans="1:24" ht="15.9" customHeight="1" x14ac:dyDescent="0.6">
      <c r="A57" s="51">
        <v>53</v>
      </c>
      <c r="B57" s="51" t="s">
        <v>1</v>
      </c>
      <c r="C57" s="63" t="s">
        <v>148</v>
      </c>
      <c r="D57" s="52" t="s">
        <v>145</v>
      </c>
      <c r="E57" s="59">
        <v>1</v>
      </c>
      <c r="F57" s="59">
        <v>1</v>
      </c>
      <c r="G57" s="59">
        <v>2</v>
      </c>
      <c r="H57" s="59">
        <v>1</v>
      </c>
      <c r="I57" s="59">
        <v>1</v>
      </c>
      <c r="J57" s="59">
        <v>2</v>
      </c>
      <c r="K57" s="59">
        <v>2</v>
      </c>
      <c r="L57" s="60">
        <v>1</v>
      </c>
      <c r="M57" s="61">
        <v>1</v>
      </c>
      <c r="N57" s="61">
        <v>2</v>
      </c>
      <c r="O57" s="61">
        <v>1</v>
      </c>
      <c r="P57" s="61">
        <v>2</v>
      </c>
      <c r="Q57" s="61">
        <v>1</v>
      </c>
      <c r="R57" s="61">
        <v>1</v>
      </c>
      <c r="S57" s="61">
        <v>2</v>
      </c>
      <c r="T57" s="37">
        <f t="shared" ref="T57:T64" si="19">SUM(E57:S57)</f>
        <v>21</v>
      </c>
      <c r="U57" s="57" t="str" cm="1">
        <f t="array" ref="U57">_xlfn.IFS( AND(T57&gt;=15,T57&lt;=25),"1", AND(T57&gt;=26,T57&lt;=35),"2", AND(T57&gt;=36,T57&lt;=45),"3")</f>
        <v>1</v>
      </c>
      <c r="V57" s="58">
        <v>2</v>
      </c>
      <c r="W57" s="58">
        <f t="shared" si="15"/>
        <v>2</v>
      </c>
      <c r="X57" s="50"/>
    </row>
    <row r="58" spans="1:24" ht="15.9" customHeight="1" x14ac:dyDescent="0.6">
      <c r="A58" s="53">
        <v>54</v>
      </c>
      <c r="B58" s="51" t="s">
        <v>1</v>
      </c>
      <c r="C58" s="63" t="s">
        <v>149</v>
      </c>
      <c r="D58" s="52" t="s">
        <v>145</v>
      </c>
      <c r="E58" s="59">
        <v>1</v>
      </c>
      <c r="F58" s="59">
        <v>1</v>
      </c>
      <c r="G58" s="59">
        <v>2</v>
      </c>
      <c r="H58" s="59">
        <v>1</v>
      </c>
      <c r="I58" s="59">
        <v>1</v>
      </c>
      <c r="J58" s="59">
        <v>2</v>
      </c>
      <c r="K58" s="59">
        <v>2</v>
      </c>
      <c r="L58" s="60">
        <v>1</v>
      </c>
      <c r="M58" s="61">
        <v>1</v>
      </c>
      <c r="N58" s="61">
        <v>2</v>
      </c>
      <c r="O58" s="61">
        <v>1</v>
      </c>
      <c r="P58" s="61">
        <v>2</v>
      </c>
      <c r="Q58" s="61">
        <v>1</v>
      </c>
      <c r="R58" s="61">
        <v>1</v>
      </c>
      <c r="S58" s="61">
        <v>2</v>
      </c>
      <c r="T58" s="37">
        <f t="shared" si="19"/>
        <v>21</v>
      </c>
      <c r="U58" s="57" t="str" cm="1">
        <f t="array" ref="U58">_xlfn.IFS( AND(T58&gt;=15,T58&lt;=25),"1", AND(T58&gt;=26,T58&lt;=35),"2", AND(T58&gt;=36,T58&lt;=45),"3")</f>
        <v>1</v>
      </c>
      <c r="V58" s="58">
        <v>2</v>
      </c>
      <c r="W58" s="58">
        <f t="shared" si="15"/>
        <v>2</v>
      </c>
      <c r="X58" s="4"/>
    </row>
    <row r="59" spans="1:24" ht="15.9" customHeight="1" x14ac:dyDescent="0.6">
      <c r="A59" s="51">
        <v>55</v>
      </c>
      <c r="B59" s="51" t="s">
        <v>1</v>
      </c>
      <c r="C59" s="63" t="s">
        <v>150</v>
      </c>
      <c r="D59" s="52" t="s">
        <v>145</v>
      </c>
      <c r="E59" s="59">
        <v>1</v>
      </c>
      <c r="F59" s="59">
        <v>1</v>
      </c>
      <c r="G59" s="59">
        <v>2</v>
      </c>
      <c r="H59" s="59">
        <v>1</v>
      </c>
      <c r="I59" s="59">
        <v>1</v>
      </c>
      <c r="J59" s="59">
        <v>2</v>
      </c>
      <c r="K59" s="59">
        <v>2</v>
      </c>
      <c r="L59" s="60">
        <v>1</v>
      </c>
      <c r="M59" s="61">
        <v>1</v>
      </c>
      <c r="N59" s="61">
        <v>2</v>
      </c>
      <c r="O59" s="61">
        <v>1</v>
      </c>
      <c r="P59" s="61">
        <v>2</v>
      </c>
      <c r="Q59" s="61">
        <v>1</v>
      </c>
      <c r="R59" s="61">
        <v>1</v>
      </c>
      <c r="S59" s="61">
        <v>2</v>
      </c>
      <c r="T59" s="37">
        <f t="shared" si="19"/>
        <v>21</v>
      </c>
      <c r="U59" s="57" t="str" cm="1">
        <f t="array" ref="U59">_xlfn.IFS( AND(T59&gt;=15,T59&lt;=25),"1", AND(T59&gt;=26,T59&lt;=35),"2", AND(T59&gt;=36,T59&lt;=45),"3")</f>
        <v>1</v>
      </c>
      <c r="V59" s="58">
        <v>2</v>
      </c>
      <c r="W59" s="58">
        <f t="shared" si="15"/>
        <v>2</v>
      </c>
      <c r="X59" s="50"/>
    </row>
    <row r="60" spans="1:24" ht="15.9" customHeight="1" x14ac:dyDescent="0.6">
      <c r="A60" s="53">
        <v>56</v>
      </c>
      <c r="B60" s="51" t="s">
        <v>1</v>
      </c>
      <c r="C60" s="63" t="s">
        <v>151</v>
      </c>
      <c r="D60" s="52" t="s">
        <v>145</v>
      </c>
      <c r="E60" s="59">
        <v>1</v>
      </c>
      <c r="F60" s="59">
        <v>1</v>
      </c>
      <c r="G60" s="59">
        <v>2</v>
      </c>
      <c r="H60" s="59">
        <v>1</v>
      </c>
      <c r="I60" s="59">
        <v>1</v>
      </c>
      <c r="J60" s="59">
        <v>2</v>
      </c>
      <c r="K60" s="59">
        <v>2</v>
      </c>
      <c r="L60" s="60">
        <v>1</v>
      </c>
      <c r="M60" s="61">
        <v>1</v>
      </c>
      <c r="N60" s="61">
        <v>2</v>
      </c>
      <c r="O60" s="61">
        <v>1</v>
      </c>
      <c r="P60" s="61">
        <v>2</v>
      </c>
      <c r="Q60" s="61">
        <v>1</v>
      </c>
      <c r="R60" s="61">
        <v>1</v>
      </c>
      <c r="S60" s="61">
        <v>2</v>
      </c>
      <c r="T60" s="37">
        <f t="shared" si="19"/>
        <v>21</v>
      </c>
      <c r="U60" s="57" t="str" cm="1">
        <f t="array" ref="U60">_xlfn.IFS( AND(T60&gt;=15,T60&lt;=25),"1", AND(T60&gt;=26,T60&lt;=35),"2", AND(T60&gt;=36,T60&lt;=45),"3")</f>
        <v>1</v>
      </c>
      <c r="V60" s="58">
        <v>2</v>
      </c>
      <c r="W60" s="58">
        <f t="shared" si="15"/>
        <v>2</v>
      </c>
      <c r="X60" s="50"/>
    </row>
    <row r="61" spans="1:24" ht="15.9" customHeight="1" x14ac:dyDescent="0.6">
      <c r="A61" s="53">
        <v>57</v>
      </c>
      <c r="B61" s="51" t="s">
        <v>1</v>
      </c>
      <c r="C61" s="63" t="s">
        <v>152</v>
      </c>
      <c r="D61" s="52" t="s">
        <v>145</v>
      </c>
      <c r="E61" s="59">
        <v>1</v>
      </c>
      <c r="F61" s="59">
        <v>1</v>
      </c>
      <c r="G61" s="59">
        <v>2</v>
      </c>
      <c r="H61" s="59">
        <v>1</v>
      </c>
      <c r="I61" s="59">
        <v>1</v>
      </c>
      <c r="J61" s="59">
        <v>2</v>
      </c>
      <c r="K61" s="59">
        <v>2</v>
      </c>
      <c r="L61" s="60">
        <v>1</v>
      </c>
      <c r="M61" s="61">
        <v>1</v>
      </c>
      <c r="N61" s="61">
        <v>2</v>
      </c>
      <c r="O61" s="61">
        <v>1</v>
      </c>
      <c r="P61" s="61">
        <v>2</v>
      </c>
      <c r="Q61" s="61">
        <v>1</v>
      </c>
      <c r="R61" s="61">
        <v>1</v>
      </c>
      <c r="S61" s="61">
        <v>2</v>
      </c>
      <c r="T61" s="37">
        <f t="shared" si="19"/>
        <v>21</v>
      </c>
      <c r="U61" s="57" t="str" cm="1">
        <f t="array" ref="U61">_xlfn.IFS( AND(T61&gt;=15,T61&lt;=25),"1", AND(T61&gt;=26,T61&lt;=35),"2", AND(T61&gt;=36,T61&lt;=45),"3")</f>
        <v>1</v>
      </c>
      <c r="V61" s="58">
        <v>2</v>
      </c>
      <c r="W61" s="58">
        <f t="shared" si="15"/>
        <v>2</v>
      </c>
      <c r="X61" s="50"/>
    </row>
    <row r="62" spans="1:24" ht="15.9" customHeight="1" x14ac:dyDescent="0.6">
      <c r="A62" s="51">
        <v>58</v>
      </c>
      <c r="B62" s="51" t="s">
        <v>1</v>
      </c>
      <c r="C62" s="63" t="s">
        <v>153</v>
      </c>
      <c r="D62" s="5" t="s">
        <v>219</v>
      </c>
      <c r="E62" s="59">
        <v>1</v>
      </c>
      <c r="F62" s="59">
        <v>1</v>
      </c>
      <c r="G62" s="59">
        <v>1</v>
      </c>
      <c r="H62" s="59">
        <v>1</v>
      </c>
      <c r="I62" s="59">
        <v>1</v>
      </c>
      <c r="J62" s="59">
        <v>1</v>
      </c>
      <c r="K62" s="59">
        <v>1</v>
      </c>
      <c r="L62" s="60">
        <v>1</v>
      </c>
      <c r="M62" s="61">
        <v>2</v>
      </c>
      <c r="N62" s="61">
        <v>2</v>
      </c>
      <c r="O62" s="61">
        <v>2</v>
      </c>
      <c r="P62" s="61">
        <v>2</v>
      </c>
      <c r="Q62" s="61">
        <v>1</v>
      </c>
      <c r="R62" s="61">
        <v>1</v>
      </c>
      <c r="S62" s="61">
        <v>1</v>
      </c>
      <c r="T62" s="37">
        <f t="shared" si="19"/>
        <v>19</v>
      </c>
      <c r="U62" s="57" t="str" cm="1">
        <f t="array" ref="U62">_xlfn.IFS( AND(T62&gt;=15,T62&lt;=25),"1", AND(T62&gt;=26,T62&lt;=35),"2", AND(T62&gt;=36,T62&lt;=45),"3")</f>
        <v>1</v>
      </c>
      <c r="V62" s="58">
        <v>2</v>
      </c>
      <c r="W62" s="58">
        <f t="shared" si="15"/>
        <v>2</v>
      </c>
      <c r="X62" s="4"/>
    </row>
    <row r="63" spans="1:24" ht="15.9" customHeight="1" x14ac:dyDescent="0.6">
      <c r="A63" s="53">
        <v>59</v>
      </c>
      <c r="B63" s="51" t="s">
        <v>1</v>
      </c>
      <c r="C63" s="63" t="s">
        <v>154</v>
      </c>
      <c r="D63" s="5" t="s">
        <v>219</v>
      </c>
      <c r="E63" s="59">
        <v>1</v>
      </c>
      <c r="F63" s="59">
        <v>1</v>
      </c>
      <c r="G63" s="59">
        <v>1</v>
      </c>
      <c r="H63" s="59">
        <v>1</v>
      </c>
      <c r="I63" s="59">
        <v>1</v>
      </c>
      <c r="J63" s="59">
        <v>1</v>
      </c>
      <c r="K63" s="59">
        <v>1</v>
      </c>
      <c r="L63" s="60">
        <v>1</v>
      </c>
      <c r="M63" s="61">
        <v>2</v>
      </c>
      <c r="N63" s="61">
        <v>2</v>
      </c>
      <c r="O63" s="61">
        <v>2</v>
      </c>
      <c r="P63" s="61">
        <v>2</v>
      </c>
      <c r="Q63" s="61">
        <v>1</v>
      </c>
      <c r="R63" s="61">
        <v>1</v>
      </c>
      <c r="S63" s="61">
        <v>1</v>
      </c>
      <c r="T63" s="37">
        <f t="shared" si="19"/>
        <v>19</v>
      </c>
      <c r="U63" s="57" t="str" cm="1">
        <f t="array" ref="U63">_xlfn.IFS( AND(T63&gt;=15,T63&lt;=25),"1", AND(T63&gt;=26,T63&lt;=35),"2", AND(T63&gt;=36,T63&lt;=45),"3")</f>
        <v>1</v>
      </c>
      <c r="V63" s="58">
        <v>3</v>
      </c>
      <c r="W63" s="58">
        <f t="shared" si="15"/>
        <v>3</v>
      </c>
      <c r="X63" s="50"/>
    </row>
    <row r="64" spans="1:24" ht="15.9" customHeight="1" x14ac:dyDescent="0.6">
      <c r="A64" s="51">
        <v>60</v>
      </c>
      <c r="B64" s="51" t="s">
        <v>1</v>
      </c>
      <c r="C64" s="63" t="s">
        <v>155</v>
      </c>
      <c r="D64" s="5" t="s">
        <v>219</v>
      </c>
      <c r="E64" s="59">
        <v>1</v>
      </c>
      <c r="F64" s="59">
        <v>1</v>
      </c>
      <c r="G64" s="59">
        <v>1</v>
      </c>
      <c r="H64" s="59">
        <v>1</v>
      </c>
      <c r="I64" s="59">
        <v>1</v>
      </c>
      <c r="J64" s="59">
        <v>1</v>
      </c>
      <c r="K64" s="59">
        <v>1</v>
      </c>
      <c r="L64" s="60">
        <v>1</v>
      </c>
      <c r="M64" s="61">
        <v>2</v>
      </c>
      <c r="N64" s="61">
        <v>2</v>
      </c>
      <c r="O64" s="61">
        <v>2</v>
      </c>
      <c r="P64" s="61">
        <v>2</v>
      </c>
      <c r="Q64" s="61">
        <v>1</v>
      </c>
      <c r="R64" s="61">
        <v>1</v>
      </c>
      <c r="S64" s="61">
        <v>1</v>
      </c>
      <c r="T64" s="37">
        <f t="shared" si="19"/>
        <v>19</v>
      </c>
      <c r="U64" s="57" t="str" cm="1">
        <f t="array" ref="U64">_xlfn.IFS( AND(T64&gt;=15,T64&lt;=25),"1", AND(T64&gt;=26,T64&lt;=35),"2", AND(T64&gt;=36,T64&lt;=45),"3")</f>
        <v>1</v>
      </c>
      <c r="V64" s="58">
        <v>3</v>
      </c>
      <c r="W64" s="58">
        <f t="shared" si="15"/>
        <v>3</v>
      </c>
      <c r="X64" s="50"/>
    </row>
    <row r="65" spans="1:24" ht="15.9" customHeight="1" x14ac:dyDescent="0.6">
      <c r="A65" s="53">
        <v>61</v>
      </c>
      <c r="B65" s="51" t="s">
        <v>1</v>
      </c>
      <c r="C65" s="62" t="s">
        <v>157</v>
      </c>
      <c r="D65" s="52" t="s">
        <v>156</v>
      </c>
      <c r="E65" s="59">
        <v>1</v>
      </c>
      <c r="F65" s="59">
        <v>1</v>
      </c>
      <c r="G65" s="59">
        <v>1</v>
      </c>
      <c r="H65" s="59">
        <v>1</v>
      </c>
      <c r="I65" s="59">
        <v>1</v>
      </c>
      <c r="J65" s="59">
        <v>1</v>
      </c>
      <c r="K65" s="59">
        <v>1</v>
      </c>
      <c r="L65" s="60">
        <v>1</v>
      </c>
      <c r="M65" s="61">
        <v>2</v>
      </c>
      <c r="N65" s="61">
        <v>2</v>
      </c>
      <c r="O65" s="61">
        <v>2</v>
      </c>
      <c r="P65" s="61">
        <v>2</v>
      </c>
      <c r="Q65" s="61">
        <v>1</v>
      </c>
      <c r="R65" s="61">
        <v>1</v>
      </c>
      <c r="S65" s="61">
        <v>1</v>
      </c>
      <c r="T65" s="37">
        <f>SUM(E65:S65)</f>
        <v>19</v>
      </c>
      <c r="U65" s="57" t="str" cm="1">
        <f t="array" ref="U65">_xlfn.IFS( AND(T65&gt;=15,T65&lt;=25),"1", AND(T65&gt;25,T65&lt;=35),"2", AND(T65&gt;35,T65&lt;=45),"3")</f>
        <v>1</v>
      </c>
      <c r="V65" s="58">
        <v>3</v>
      </c>
      <c r="W65" s="58">
        <f>V65*U65</f>
        <v>3</v>
      </c>
      <c r="X65" s="50"/>
    </row>
    <row r="66" spans="1:24" ht="15.9" customHeight="1" x14ac:dyDescent="0.6">
      <c r="A66" s="53">
        <v>62</v>
      </c>
      <c r="B66" s="51" t="s">
        <v>1</v>
      </c>
      <c r="C66" s="62" t="s">
        <v>158</v>
      </c>
      <c r="D66" s="52" t="s">
        <v>156</v>
      </c>
      <c r="E66" s="59">
        <v>1</v>
      </c>
      <c r="F66" s="59">
        <v>1</v>
      </c>
      <c r="G66" s="59">
        <v>1</v>
      </c>
      <c r="H66" s="59">
        <v>1</v>
      </c>
      <c r="I66" s="59">
        <v>1</v>
      </c>
      <c r="J66" s="59">
        <v>1</v>
      </c>
      <c r="K66" s="59">
        <v>1</v>
      </c>
      <c r="L66" s="60">
        <v>1</v>
      </c>
      <c r="M66" s="61">
        <v>2</v>
      </c>
      <c r="N66" s="61">
        <v>2</v>
      </c>
      <c r="O66" s="61">
        <v>2</v>
      </c>
      <c r="P66" s="61">
        <v>2</v>
      </c>
      <c r="Q66" s="61">
        <v>1</v>
      </c>
      <c r="R66" s="61">
        <v>1</v>
      </c>
      <c r="S66" s="61">
        <v>1</v>
      </c>
      <c r="T66" s="37">
        <f>SUM(E66:S66)</f>
        <v>19</v>
      </c>
      <c r="U66" s="57" t="str" cm="1">
        <f t="array" ref="U66">_xlfn.IFS( AND(T66&gt;=15,T66&lt;=25),"1", AND(T66&gt;=26,T66&lt;=35),"2", AND(T66&gt;=36,T66&lt;=45),"3")</f>
        <v>1</v>
      </c>
      <c r="V66" s="58">
        <v>3</v>
      </c>
      <c r="W66" s="58">
        <f t="shared" ref="W66:W69" si="20">V66*U66</f>
        <v>3</v>
      </c>
      <c r="X66" s="4"/>
    </row>
    <row r="67" spans="1:24" ht="15.9" customHeight="1" x14ac:dyDescent="0.6">
      <c r="A67" s="51">
        <v>63</v>
      </c>
      <c r="B67" s="51" t="s">
        <v>1</v>
      </c>
      <c r="C67" s="63" t="s">
        <v>159</v>
      </c>
      <c r="D67" s="52" t="s">
        <v>219</v>
      </c>
      <c r="E67" s="59">
        <v>1</v>
      </c>
      <c r="F67" s="59">
        <v>1</v>
      </c>
      <c r="G67" s="59">
        <v>1</v>
      </c>
      <c r="H67" s="59">
        <v>1</v>
      </c>
      <c r="I67" s="59">
        <v>1</v>
      </c>
      <c r="J67" s="59">
        <v>1</v>
      </c>
      <c r="K67" s="59">
        <v>1</v>
      </c>
      <c r="L67" s="60">
        <v>1</v>
      </c>
      <c r="M67" s="61">
        <v>2</v>
      </c>
      <c r="N67" s="61">
        <v>2</v>
      </c>
      <c r="O67" s="61">
        <v>2</v>
      </c>
      <c r="P67" s="61">
        <v>2</v>
      </c>
      <c r="Q67" s="61">
        <v>1</v>
      </c>
      <c r="R67" s="61">
        <v>1</v>
      </c>
      <c r="S67" s="61">
        <v>1</v>
      </c>
      <c r="T67" s="37">
        <f t="shared" ref="T67:T69" si="21">SUM(E67:S67)</f>
        <v>19</v>
      </c>
      <c r="U67" s="57" t="str" cm="1">
        <f t="array" ref="U67">_xlfn.IFS( AND(T67&gt;=15,T67&lt;=25),"1", AND(T67&gt;=26,T67&lt;=35),"2", AND(T67&gt;=36,T67&lt;=45),"3")</f>
        <v>1</v>
      </c>
      <c r="V67" s="58">
        <v>3</v>
      </c>
      <c r="W67" s="58">
        <f t="shared" si="20"/>
        <v>3</v>
      </c>
      <c r="X67" s="50"/>
    </row>
    <row r="68" spans="1:24" ht="15.9" customHeight="1" x14ac:dyDescent="0.6">
      <c r="A68" s="53">
        <v>64</v>
      </c>
      <c r="B68" s="51" t="s">
        <v>1</v>
      </c>
      <c r="C68" s="63" t="s">
        <v>160</v>
      </c>
      <c r="D68" s="52" t="s">
        <v>219</v>
      </c>
      <c r="E68" s="59">
        <v>1</v>
      </c>
      <c r="F68" s="59">
        <v>1</v>
      </c>
      <c r="G68" s="59">
        <v>1</v>
      </c>
      <c r="H68" s="59">
        <v>1</v>
      </c>
      <c r="I68" s="59">
        <v>1</v>
      </c>
      <c r="J68" s="59">
        <v>1</v>
      </c>
      <c r="K68" s="59">
        <v>1</v>
      </c>
      <c r="L68" s="60">
        <v>1</v>
      </c>
      <c r="M68" s="61">
        <v>2</v>
      </c>
      <c r="N68" s="61">
        <v>2</v>
      </c>
      <c r="O68" s="61">
        <v>2</v>
      </c>
      <c r="P68" s="61">
        <v>2</v>
      </c>
      <c r="Q68" s="61">
        <v>1</v>
      </c>
      <c r="R68" s="61">
        <v>1</v>
      </c>
      <c r="S68" s="61">
        <v>1</v>
      </c>
      <c r="T68" s="37">
        <f t="shared" si="21"/>
        <v>19</v>
      </c>
      <c r="U68" s="57" t="str" cm="1">
        <f t="array" ref="U68">_xlfn.IFS( AND(T68&gt;=15,T68&lt;=25),"1", AND(T68&gt;=26,T68&lt;=35),"2", AND(T68&gt;=36,T68&lt;=45),"3")</f>
        <v>1</v>
      </c>
      <c r="V68" s="58">
        <v>3</v>
      </c>
      <c r="W68" s="58">
        <f t="shared" si="20"/>
        <v>3</v>
      </c>
      <c r="X68" s="50"/>
    </row>
    <row r="69" spans="1:24" ht="15.9" customHeight="1" x14ac:dyDescent="0.6">
      <c r="A69" s="51">
        <v>65</v>
      </c>
      <c r="B69" s="51" t="s">
        <v>1</v>
      </c>
      <c r="C69" s="63" t="s">
        <v>162</v>
      </c>
      <c r="D69" s="5" t="s">
        <v>161</v>
      </c>
      <c r="E69" s="59">
        <v>1</v>
      </c>
      <c r="F69" s="59">
        <v>1</v>
      </c>
      <c r="G69" s="59">
        <v>1</v>
      </c>
      <c r="H69" s="59">
        <v>1</v>
      </c>
      <c r="I69" s="59">
        <v>1</v>
      </c>
      <c r="J69" s="59">
        <v>1</v>
      </c>
      <c r="K69" s="59">
        <v>1</v>
      </c>
      <c r="L69" s="60">
        <v>1</v>
      </c>
      <c r="M69" s="61">
        <v>2</v>
      </c>
      <c r="N69" s="61">
        <v>2</v>
      </c>
      <c r="O69" s="61">
        <v>2</v>
      </c>
      <c r="P69" s="61">
        <v>2</v>
      </c>
      <c r="Q69" s="61">
        <v>1</v>
      </c>
      <c r="R69" s="61">
        <v>1</v>
      </c>
      <c r="S69" s="61">
        <v>1</v>
      </c>
      <c r="T69" s="37">
        <f t="shared" si="21"/>
        <v>19</v>
      </c>
      <c r="U69" s="57" t="str" cm="1">
        <f t="array" ref="U69">_xlfn.IFS( AND(T69&gt;=15,T69&lt;=25),"1", AND(T69&gt;=26,T69&lt;=35),"2", AND(T69&gt;=36,T69&lt;=45),"3")</f>
        <v>1</v>
      </c>
      <c r="V69" s="58">
        <v>3</v>
      </c>
      <c r="W69" s="58">
        <f t="shared" si="20"/>
        <v>3</v>
      </c>
      <c r="X69" s="50"/>
    </row>
    <row r="70" spans="1:24" ht="15.9" customHeight="1" x14ac:dyDescent="0.6">
      <c r="A70" s="53">
        <v>66</v>
      </c>
      <c r="B70" s="51" t="s">
        <v>1</v>
      </c>
      <c r="C70" s="62" t="s">
        <v>163</v>
      </c>
      <c r="D70" s="52" t="s">
        <v>219</v>
      </c>
      <c r="E70" s="59">
        <v>1</v>
      </c>
      <c r="F70" s="59">
        <v>1</v>
      </c>
      <c r="G70" s="59">
        <v>1</v>
      </c>
      <c r="H70" s="59">
        <v>1</v>
      </c>
      <c r="I70" s="59">
        <v>1</v>
      </c>
      <c r="J70" s="59">
        <v>1</v>
      </c>
      <c r="K70" s="59">
        <v>1</v>
      </c>
      <c r="L70" s="60">
        <v>1</v>
      </c>
      <c r="M70" s="61">
        <v>2</v>
      </c>
      <c r="N70" s="61">
        <v>2</v>
      </c>
      <c r="O70" s="61">
        <v>2</v>
      </c>
      <c r="P70" s="61">
        <v>2</v>
      </c>
      <c r="Q70" s="61">
        <v>1</v>
      </c>
      <c r="R70" s="61">
        <v>1</v>
      </c>
      <c r="S70" s="61">
        <v>1</v>
      </c>
      <c r="T70" s="37">
        <f>SUM(E70:S70)</f>
        <v>19</v>
      </c>
      <c r="U70" s="57" t="str">
        <f>_xlfn.IFS( AND(T70&gt;=15,T70&lt;=25),"1", AND(T70&gt;25,T70&lt;=35),"2", AND(T70&gt;35,T70&lt;=45),"3")</f>
        <v>1</v>
      </c>
      <c r="V70" s="58">
        <v>3</v>
      </c>
      <c r="W70" s="58">
        <f>V70*U70</f>
        <v>3</v>
      </c>
      <c r="X70" s="50"/>
    </row>
    <row r="71" spans="1:24" ht="15.9" customHeight="1" x14ac:dyDescent="0.6">
      <c r="A71" s="53">
        <v>67</v>
      </c>
      <c r="B71" s="51" t="s">
        <v>1</v>
      </c>
      <c r="C71" s="62" t="s">
        <v>164</v>
      </c>
      <c r="D71" s="52" t="s">
        <v>219</v>
      </c>
      <c r="E71" s="59">
        <v>1</v>
      </c>
      <c r="F71" s="59">
        <v>1</v>
      </c>
      <c r="G71" s="59">
        <v>1</v>
      </c>
      <c r="H71" s="59">
        <v>1</v>
      </c>
      <c r="I71" s="59">
        <v>1</v>
      </c>
      <c r="J71" s="59">
        <v>1</v>
      </c>
      <c r="K71" s="59">
        <v>1</v>
      </c>
      <c r="L71" s="60">
        <v>1</v>
      </c>
      <c r="M71" s="61">
        <v>2</v>
      </c>
      <c r="N71" s="61">
        <v>2</v>
      </c>
      <c r="O71" s="61">
        <v>2</v>
      </c>
      <c r="P71" s="61">
        <v>2</v>
      </c>
      <c r="Q71" s="61">
        <v>1</v>
      </c>
      <c r="R71" s="61">
        <v>1</v>
      </c>
      <c r="S71" s="61">
        <v>1</v>
      </c>
      <c r="T71" s="37">
        <f>SUM(E71:S71)</f>
        <v>19</v>
      </c>
      <c r="U71" s="57" t="str" cm="1">
        <f t="array" ref="U71">_xlfn.IFS( AND(T71&gt;=15,T71&lt;=25),"1", AND(T71&gt;=26,T71&lt;=35),"2", AND(T71&gt;=36,T71&lt;=45),"3")</f>
        <v>1</v>
      </c>
      <c r="V71" s="58">
        <v>3</v>
      </c>
      <c r="W71" s="58">
        <f t="shared" ref="W71:W81" si="22">V71*U71</f>
        <v>3</v>
      </c>
      <c r="X71" s="4"/>
    </row>
    <row r="72" spans="1:24" ht="15.9" customHeight="1" x14ac:dyDescent="0.6">
      <c r="A72" s="51">
        <v>68</v>
      </c>
      <c r="B72" s="51" t="s">
        <v>1</v>
      </c>
      <c r="C72" s="63" t="s">
        <v>166</v>
      </c>
      <c r="D72" s="52" t="s">
        <v>165</v>
      </c>
      <c r="E72" s="59">
        <v>1</v>
      </c>
      <c r="F72" s="59">
        <v>1</v>
      </c>
      <c r="G72" s="59">
        <v>1</v>
      </c>
      <c r="H72" s="59">
        <v>1</v>
      </c>
      <c r="I72" s="59">
        <v>1</v>
      </c>
      <c r="J72" s="59">
        <v>1</v>
      </c>
      <c r="K72" s="59">
        <v>1</v>
      </c>
      <c r="L72" s="60">
        <v>1</v>
      </c>
      <c r="M72" s="61">
        <v>2</v>
      </c>
      <c r="N72" s="61">
        <v>2</v>
      </c>
      <c r="O72" s="61">
        <v>2</v>
      </c>
      <c r="P72" s="61">
        <v>2</v>
      </c>
      <c r="Q72" s="61">
        <v>1</v>
      </c>
      <c r="R72" s="61">
        <v>1</v>
      </c>
      <c r="S72" s="61">
        <v>1</v>
      </c>
      <c r="T72" s="37">
        <f t="shared" ref="T72" si="23">SUM(E72:S72)</f>
        <v>19</v>
      </c>
      <c r="U72" s="57" t="str" cm="1">
        <f t="array" ref="U72">_xlfn.IFS( AND(T72&gt;=15,T72&lt;=25),"1", AND(T72&gt;=26,T72&lt;=35),"2", AND(T72&gt;=36,T72&lt;=45),"3")</f>
        <v>1</v>
      </c>
      <c r="V72" s="58">
        <v>3</v>
      </c>
      <c r="W72" s="58">
        <f t="shared" si="22"/>
        <v>3</v>
      </c>
      <c r="X72" s="50"/>
    </row>
    <row r="73" spans="1:24" ht="15.9" customHeight="1" x14ac:dyDescent="0.6">
      <c r="A73" s="53">
        <v>69</v>
      </c>
      <c r="B73" s="51" t="s">
        <v>1</v>
      </c>
      <c r="C73" s="63" t="s">
        <v>167</v>
      </c>
      <c r="D73" s="52" t="s">
        <v>165</v>
      </c>
      <c r="E73" s="59">
        <v>1</v>
      </c>
      <c r="F73" s="59">
        <v>1</v>
      </c>
      <c r="G73" s="59">
        <v>1</v>
      </c>
      <c r="H73" s="59">
        <v>1</v>
      </c>
      <c r="I73" s="59">
        <v>1</v>
      </c>
      <c r="J73" s="59">
        <v>1</v>
      </c>
      <c r="K73" s="59">
        <v>1</v>
      </c>
      <c r="L73" s="60">
        <v>1</v>
      </c>
      <c r="M73" s="61">
        <v>2</v>
      </c>
      <c r="N73" s="61">
        <v>2</v>
      </c>
      <c r="O73" s="61">
        <v>2</v>
      </c>
      <c r="P73" s="61">
        <v>2</v>
      </c>
      <c r="Q73" s="61">
        <v>1</v>
      </c>
      <c r="R73" s="61">
        <v>1</v>
      </c>
      <c r="S73" s="61">
        <v>1</v>
      </c>
      <c r="T73" s="37">
        <f t="shared" ref="T73" si="24">SUM(E73:S73)</f>
        <v>19</v>
      </c>
      <c r="U73" s="57" t="str" cm="1">
        <f t="array" ref="U73">_xlfn.IFS( AND(T73&gt;=15,T73&lt;=25),"1", AND(T73&gt;=26,T73&lt;=35),"2", AND(T73&gt;=36,T73&lt;=45),"3")</f>
        <v>1</v>
      </c>
      <c r="V73" s="58">
        <v>3</v>
      </c>
      <c r="W73" s="58">
        <f t="shared" si="22"/>
        <v>3</v>
      </c>
      <c r="X73" s="50"/>
    </row>
    <row r="74" spans="1:24" ht="15.9" customHeight="1" x14ac:dyDescent="0.6">
      <c r="A74" s="51">
        <v>70</v>
      </c>
      <c r="B74" s="51" t="s">
        <v>1</v>
      </c>
      <c r="C74" s="63" t="s">
        <v>167</v>
      </c>
      <c r="D74" s="52" t="s">
        <v>165</v>
      </c>
      <c r="E74" s="59">
        <v>1</v>
      </c>
      <c r="F74" s="59">
        <v>1</v>
      </c>
      <c r="G74" s="59">
        <v>1</v>
      </c>
      <c r="H74" s="59">
        <v>1</v>
      </c>
      <c r="I74" s="59">
        <v>1</v>
      </c>
      <c r="J74" s="59">
        <v>1</v>
      </c>
      <c r="K74" s="59">
        <v>1</v>
      </c>
      <c r="L74" s="60">
        <v>1</v>
      </c>
      <c r="M74" s="61">
        <v>2</v>
      </c>
      <c r="N74" s="61">
        <v>2</v>
      </c>
      <c r="O74" s="61">
        <v>2</v>
      </c>
      <c r="P74" s="61">
        <v>2</v>
      </c>
      <c r="Q74" s="61">
        <v>1</v>
      </c>
      <c r="R74" s="61">
        <v>1</v>
      </c>
      <c r="S74" s="61">
        <v>1</v>
      </c>
      <c r="T74" s="37">
        <f t="shared" ref="T74:T81" si="25">SUM(E74:S74)</f>
        <v>19</v>
      </c>
      <c r="U74" s="57" t="str" cm="1">
        <f t="array" ref="U74">_xlfn.IFS( AND(T74&gt;=15,T74&lt;=25),"1", AND(T74&gt;=26,T74&lt;=35),"2", AND(T74&gt;=36,T74&lt;=45),"3")</f>
        <v>1</v>
      </c>
      <c r="V74" s="58">
        <v>3</v>
      </c>
      <c r="W74" s="58">
        <f t="shared" si="22"/>
        <v>3</v>
      </c>
      <c r="X74" s="50"/>
    </row>
    <row r="75" spans="1:24" ht="15.9" customHeight="1" x14ac:dyDescent="0.6">
      <c r="A75" s="53">
        <v>71</v>
      </c>
      <c r="B75" s="51" t="s">
        <v>1</v>
      </c>
      <c r="C75" s="63" t="s">
        <v>168</v>
      </c>
      <c r="D75" s="52" t="s">
        <v>165</v>
      </c>
      <c r="E75" s="59">
        <v>1</v>
      </c>
      <c r="F75" s="59">
        <v>1</v>
      </c>
      <c r="G75" s="59">
        <v>1</v>
      </c>
      <c r="H75" s="59">
        <v>1</v>
      </c>
      <c r="I75" s="59">
        <v>1</v>
      </c>
      <c r="J75" s="59">
        <v>1</v>
      </c>
      <c r="K75" s="59">
        <v>1</v>
      </c>
      <c r="L75" s="60">
        <v>1</v>
      </c>
      <c r="M75" s="61">
        <v>2</v>
      </c>
      <c r="N75" s="61">
        <v>2</v>
      </c>
      <c r="O75" s="61">
        <v>2</v>
      </c>
      <c r="P75" s="61">
        <v>2</v>
      </c>
      <c r="Q75" s="61">
        <v>1</v>
      </c>
      <c r="R75" s="61">
        <v>1</v>
      </c>
      <c r="S75" s="61">
        <v>1</v>
      </c>
      <c r="T75" s="37">
        <f t="shared" si="25"/>
        <v>19</v>
      </c>
      <c r="U75" s="57" t="str" cm="1">
        <f t="array" ref="U75">_xlfn.IFS( AND(T75&gt;=15,T75&lt;=25),"1", AND(T75&gt;=26,T75&lt;=35),"2", AND(T75&gt;=36,T75&lt;=45),"3")</f>
        <v>1</v>
      </c>
      <c r="V75" s="58">
        <v>3</v>
      </c>
      <c r="W75" s="58">
        <f t="shared" si="22"/>
        <v>3</v>
      </c>
      <c r="X75" s="4"/>
    </row>
    <row r="76" spans="1:24" ht="15.9" customHeight="1" x14ac:dyDescent="0.6">
      <c r="A76" s="53">
        <v>72</v>
      </c>
      <c r="B76" s="51" t="s">
        <v>1</v>
      </c>
      <c r="C76" s="63" t="s">
        <v>169</v>
      </c>
      <c r="D76" s="52" t="s">
        <v>145</v>
      </c>
      <c r="E76" s="59">
        <v>1</v>
      </c>
      <c r="F76" s="59">
        <v>1</v>
      </c>
      <c r="G76" s="59">
        <v>2</v>
      </c>
      <c r="H76" s="59">
        <v>1</v>
      </c>
      <c r="I76" s="59">
        <v>1</v>
      </c>
      <c r="J76" s="59">
        <v>1</v>
      </c>
      <c r="K76" s="59">
        <v>1</v>
      </c>
      <c r="L76" s="60">
        <v>1</v>
      </c>
      <c r="M76" s="61">
        <v>2</v>
      </c>
      <c r="N76" s="61">
        <v>2</v>
      </c>
      <c r="O76" s="61">
        <v>1</v>
      </c>
      <c r="P76" s="61">
        <v>2</v>
      </c>
      <c r="Q76" s="61">
        <v>1</v>
      </c>
      <c r="R76" s="61">
        <v>1</v>
      </c>
      <c r="S76" s="61">
        <v>1</v>
      </c>
      <c r="T76" s="37">
        <f t="shared" si="25"/>
        <v>19</v>
      </c>
      <c r="U76" s="57" t="str" cm="1">
        <f t="array" ref="U76">_xlfn.IFS( AND(T76&gt;=15,T76&lt;=25),"1", AND(T76&gt;=26,T76&lt;=35),"2", AND(T76&gt;=36,T76&lt;=45),"3")</f>
        <v>1</v>
      </c>
      <c r="V76" s="58">
        <v>2</v>
      </c>
      <c r="W76" s="58">
        <f t="shared" si="22"/>
        <v>2</v>
      </c>
      <c r="X76" s="50"/>
    </row>
    <row r="77" spans="1:24" ht="15.9" customHeight="1" x14ac:dyDescent="0.6">
      <c r="A77" s="51">
        <v>73</v>
      </c>
      <c r="B77" s="51" t="s">
        <v>1</v>
      </c>
      <c r="C77" s="63" t="s">
        <v>170</v>
      </c>
      <c r="D77" s="52" t="s">
        <v>111</v>
      </c>
      <c r="E77" s="59">
        <v>2</v>
      </c>
      <c r="F77" s="59">
        <v>1</v>
      </c>
      <c r="G77" s="59">
        <v>2</v>
      </c>
      <c r="H77" s="59">
        <v>1</v>
      </c>
      <c r="I77" s="59">
        <v>1</v>
      </c>
      <c r="J77" s="59">
        <v>2</v>
      </c>
      <c r="K77" s="59">
        <v>2</v>
      </c>
      <c r="L77" s="60">
        <v>1</v>
      </c>
      <c r="M77" s="61">
        <v>2</v>
      </c>
      <c r="N77" s="61">
        <v>2</v>
      </c>
      <c r="O77" s="61">
        <v>2</v>
      </c>
      <c r="P77" s="61">
        <v>2</v>
      </c>
      <c r="Q77" s="61">
        <v>1</v>
      </c>
      <c r="R77" s="61">
        <v>2</v>
      </c>
      <c r="S77" s="61">
        <v>2</v>
      </c>
      <c r="T77" s="37">
        <f t="shared" si="25"/>
        <v>25</v>
      </c>
      <c r="U77" s="57" t="str" cm="1">
        <f t="array" ref="U77">_xlfn.IFS( AND(T77&gt;=15,T77&lt;=25),"1", AND(T77&gt;=26,T77&lt;=35),"2", AND(T77&gt;=36,T77&lt;=45),"3")</f>
        <v>1</v>
      </c>
      <c r="V77" s="58">
        <v>2</v>
      </c>
      <c r="W77" s="58">
        <f t="shared" si="22"/>
        <v>2</v>
      </c>
      <c r="X77" s="50"/>
    </row>
    <row r="78" spans="1:24" ht="15.9" customHeight="1" x14ac:dyDescent="0.6">
      <c r="A78" s="53">
        <v>74</v>
      </c>
      <c r="B78" s="51" t="s">
        <v>1</v>
      </c>
      <c r="C78" s="63" t="s">
        <v>172</v>
      </c>
      <c r="D78" s="5" t="s">
        <v>171</v>
      </c>
      <c r="E78" s="59">
        <v>1</v>
      </c>
      <c r="F78" s="59">
        <v>1</v>
      </c>
      <c r="G78" s="59">
        <v>1</v>
      </c>
      <c r="H78" s="59">
        <v>1</v>
      </c>
      <c r="I78" s="59">
        <v>1</v>
      </c>
      <c r="J78" s="59">
        <v>1</v>
      </c>
      <c r="K78" s="59">
        <v>1</v>
      </c>
      <c r="L78" s="60">
        <v>1</v>
      </c>
      <c r="M78" s="61">
        <v>2</v>
      </c>
      <c r="N78" s="61">
        <v>2</v>
      </c>
      <c r="O78" s="61">
        <v>2</v>
      </c>
      <c r="P78" s="61">
        <v>2</v>
      </c>
      <c r="Q78" s="61">
        <v>1</v>
      </c>
      <c r="R78" s="61">
        <v>1</v>
      </c>
      <c r="S78" s="61">
        <v>1</v>
      </c>
      <c r="T78" s="37">
        <f t="shared" si="25"/>
        <v>19</v>
      </c>
      <c r="U78" s="57" t="str" cm="1">
        <f t="array" ref="U78">_xlfn.IFS( AND(T78&gt;=15,T78&lt;=25),"1", AND(T78&gt;=26,T78&lt;=35),"2", AND(T78&gt;=36,T78&lt;=45),"3")</f>
        <v>1</v>
      </c>
      <c r="V78" s="58">
        <v>3</v>
      </c>
      <c r="W78" s="58">
        <f t="shared" si="22"/>
        <v>3</v>
      </c>
      <c r="X78" s="50"/>
    </row>
    <row r="79" spans="1:24" ht="15.9" customHeight="1" x14ac:dyDescent="0.6">
      <c r="A79" s="51">
        <v>75</v>
      </c>
      <c r="B79" s="51" t="s">
        <v>1</v>
      </c>
      <c r="C79" s="63" t="s">
        <v>173</v>
      </c>
      <c r="D79" s="5" t="s">
        <v>136</v>
      </c>
      <c r="E79" s="59">
        <v>2</v>
      </c>
      <c r="F79" s="59">
        <v>1</v>
      </c>
      <c r="G79" s="59">
        <v>2</v>
      </c>
      <c r="H79" s="59">
        <v>1</v>
      </c>
      <c r="I79" s="59">
        <v>1</v>
      </c>
      <c r="J79" s="59">
        <v>2</v>
      </c>
      <c r="K79" s="59">
        <v>2</v>
      </c>
      <c r="L79" s="60">
        <v>1</v>
      </c>
      <c r="M79" s="61">
        <v>2</v>
      </c>
      <c r="N79" s="61">
        <v>2</v>
      </c>
      <c r="O79" s="61">
        <v>2</v>
      </c>
      <c r="P79" s="61">
        <v>2</v>
      </c>
      <c r="Q79" s="61">
        <v>1</v>
      </c>
      <c r="R79" s="61">
        <v>2</v>
      </c>
      <c r="S79" s="61">
        <v>2</v>
      </c>
      <c r="T79" s="37">
        <f t="shared" si="25"/>
        <v>25</v>
      </c>
      <c r="U79" s="57" t="str" cm="1">
        <f t="array" ref="U79">_xlfn.IFS( AND(T79&gt;=15,T79&lt;=25),"1", AND(T79&gt;=26,T79&lt;=35),"2", AND(T79&gt;=36,T79&lt;=45),"3")</f>
        <v>1</v>
      </c>
      <c r="V79" s="58">
        <v>2</v>
      </c>
      <c r="W79" s="58">
        <f t="shared" si="22"/>
        <v>2</v>
      </c>
      <c r="X79" s="4"/>
    </row>
    <row r="80" spans="1:24" ht="15.9" customHeight="1" x14ac:dyDescent="0.6">
      <c r="A80" s="53">
        <v>76</v>
      </c>
      <c r="B80" s="51" t="s">
        <v>1</v>
      </c>
      <c r="C80" s="63" t="s">
        <v>174</v>
      </c>
      <c r="D80" s="5" t="s">
        <v>219</v>
      </c>
      <c r="E80" s="59">
        <v>1</v>
      </c>
      <c r="F80" s="59">
        <v>1</v>
      </c>
      <c r="G80" s="59">
        <v>1</v>
      </c>
      <c r="H80" s="59">
        <v>1</v>
      </c>
      <c r="I80" s="59">
        <v>1</v>
      </c>
      <c r="J80" s="59">
        <v>1</v>
      </c>
      <c r="K80" s="59">
        <v>1</v>
      </c>
      <c r="L80" s="60">
        <v>1</v>
      </c>
      <c r="M80" s="61">
        <v>2</v>
      </c>
      <c r="N80" s="61">
        <v>2</v>
      </c>
      <c r="O80" s="61">
        <v>1</v>
      </c>
      <c r="P80" s="61">
        <v>2</v>
      </c>
      <c r="Q80" s="61">
        <v>1</v>
      </c>
      <c r="R80" s="61">
        <v>1</v>
      </c>
      <c r="S80" s="61">
        <v>1</v>
      </c>
      <c r="T80" s="37">
        <f t="shared" si="25"/>
        <v>18</v>
      </c>
      <c r="U80" s="57" t="str" cm="1">
        <f t="array" ref="U80">_xlfn.IFS( AND(T80&gt;=15,T80&lt;=25),"1", AND(T80&gt;=26,T80&lt;=35),"2", AND(T80&gt;=36,T80&lt;=45),"3")</f>
        <v>1</v>
      </c>
      <c r="V80" s="58">
        <v>3</v>
      </c>
      <c r="W80" s="58">
        <f t="shared" si="22"/>
        <v>3</v>
      </c>
      <c r="X80" s="50"/>
    </row>
    <row r="81" spans="1:24" ht="15.9" customHeight="1" x14ac:dyDescent="0.6">
      <c r="A81" s="53">
        <v>77</v>
      </c>
      <c r="B81" s="51" t="s">
        <v>1</v>
      </c>
      <c r="C81" s="63" t="s">
        <v>175</v>
      </c>
      <c r="D81" s="5" t="s">
        <v>219</v>
      </c>
      <c r="E81" s="59">
        <v>1</v>
      </c>
      <c r="F81" s="59">
        <v>1</v>
      </c>
      <c r="G81" s="59">
        <v>1</v>
      </c>
      <c r="H81" s="59">
        <v>1</v>
      </c>
      <c r="I81" s="59">
        <v>1</v>
      </c>
      <c r="J81" s="59">
        <v>1</v>
      </c>
      <c r="K81" s="59">
        <v>1</v>
      </c>
      <c r="L81" s="60">
        <v>1</v>
      </c>
      <c r="M81" s="61">
        <v>2</v>
      </c>
      <c r="N81" s="61">
        <v>2</v>
      </c>
      <c r="O81" s="61">
        <v>1</v>
      </c>
      <c r="P81" s="61">
        <v>2</v>
      </c>
      <c r="Q81" s="61">
        <v>1</v>
      </c>
      <c r="R81" s="61">
        <v>1</v>
      </c>
      <c r="S81" s="61">
        <v>1</v>
      </c>
      <c r="T81" s="37">
        <f t="shared" si="25"/>
        <v>18</v>
      </c>
      <c r="U81" s="57" t="str" cm="1">
        <f t="array" ref="U81">_xlfn.IFS( AND(T81&gt;=15,T81&lt;=25),"1", AND(T81&gt;=26,T81&lt;=35),"2", AND(T81&gt;=36,T81&lt;=45),"3")</f>
        <v>1</v>
      </c>
      <c r="V81" s="58">
        <v>3</v>
      </c>
      <c r="W81" s="58">
        <f t="shared" si="22"/>
        <v>3</v>
      </c>
      <c r="X81" s="50"/>
    </row>
    <row r="82" spans="1:24" ht="15.9" customHeight="1" x14ac:dyDescent="0.6">
      <c r="A82" s="53">
        <v>78</v>
      </c>
      <c r="B82" s="51" t="s">
        <v>1</v>
      </c>
      <c r="C82" s="62" t="s">
        <v>176</v>
      </c>
      <c r="D82" s="5" t="s">
        <v>219</v>
      </c>
      <c r="E82" s="59">
        <v>2</v>
      </c>
      <c r="F82" s="59">
        <v>1</v>
      </c>
      <c r="G82" s="59">
        <v>1</v>
      </c>
      <c r="H82" s="59">
        <v>1</v>
      </c>
      <c r="I82" s="59">
        <v>2</v>
      </c>
      <c r="J82" s="59">
        <v>2</v>
      </c>
      <c r="K82" s="59">
        <v>2</v>
      </c>
      <c r="L82" s="60">
        <v>1</v>
      </c>
      <c r="M82" s="61">
        <v>2</v>
      </c>
      <c r="N82" s="61">
        <v>2</v>
      </c>
      <c r="O82" s="61">
        <v>2</v>
      </c>
      <c r="P82" s="61">
        <v>2</v>
      </c>
      <c r="Q82" s="61">
        <v>1</v>
      </c>
      <c r="R82" s="61">
        <v>1</v>
      </c>
      <c r="S82" s="61">
        <v>1</v>
      </c>
      <c r="T82" s="37">
        <f>SUM(E82:S82)</f>
        <v>23</v>
      </c>
      <c r="U82" s="57" t="str" cm="1">
        <f t="array" ref="U82">_xlfn.IFS( AND(T82&gt;=15,T82&lt;=25),"1", AND(T82&gt;25,T82&lt;=35),"2", AND(T82&gt;35,T82&lt;=45),"3")</f>
        <v>1</v>
      </c>
      <c r="V82" s="58">
        <v>2</v>
      </c>
      <c r="W82" s="58">
        <f>V82*U82</f>
        <v>2</v>
      </c>
      <c r="X82" s="50"/>
    </row>
    <row r="83" spans="1:24" ht="15.9" customHeight="1" x14ac:dyDescent="0.6">
      <c r="A83" s="51">
        <v>79</v>
      </c>
      <c r="B83" s="51" t="s">
        <v>1</v>
      </c>
      <c r="C83" s="63" t="s">
        <v>178</v>
      </c>
      <c r="D83" s="52" t="s">
        <v>177</v>
      </c>
      <c r="E83" s="59">
        <v>1</v>
      </c>
      <c r="F83" s="59">
        <v>1</v>
      </c>
      <c r="G83" s="59">
        <v>1</v>
      </c>
      <c r="H83" s="59">
        <v>1</v>
      </c>
      <c r="I83" s="59">
        <v>1</v>
      </c>
      <c r="J83" s="59">
        <v>1</v>
      </c>
      <c r="K83" s="59">
        <v>1</v>
      </c>
      <c r="L83" s="60">
        <v>1</v>
      </c>
      <c r="M83" s="61">
        <v>2</v>
      </c>
      <c r="N83" s="61">
        <v>2</v>
      </c>
      <c r="O83" s="61">
        <v>2</v>
      </c>
      <c r="P83" s="61">
        <v>2</v>
      </c>
      <c r="Q83" s="61">
        <v>1</v>
      </c>
      <c r="R83" s="61">
        <v>2</v>
      </c>
      <c r="S83" s="61">
        <v>2</v>
      </c>
      <c r="T83" s="37">
        <f>SUM(E83:S83)</f>
        <v>21</v>
      </c>
      <c r="U83" s="57" t="str" cm="1">
        <f t="array" ref="U83">_xlfn.IFS( AND(T83&gt;=15,T83&lt;=25),"1", AND(T83&gt;=26,T83&lt;=35),"2", AND(T83&gt;=36,T83&lt;=45),"3")</f>
        <v>1</v>
      </c>
      <c r="V83" s="58">
        <v>2</v>
      </c>
      <c r="W83" s="58">
        <f t="shared" ref="W83:W88" si="26">V83*U83</f>
        <v>2</v>
      </c>
      <c r="X83" s="4"/>
    </row>
    <row r="84" spans="1:24" ht="15.9" customHeight="1" x14ac:dyDescent="0.6">
      <c r="A84" s="51">
        <v>80</v>
      </c>
      <c r="B84" s="51" t="s">
        <v>1</v>
      </c>
      <c r="C84" s="63" t="s">
        <v>179</v>
      </c>
      <c r="D84" s="52" t="s">
        <v>177</v>
      </c>
      <c r="E84" s="59">
        <v>1</v>
      </c>
      <c r="F84" s="59">
        <v>1</v>
      </c>
      <c r="G84" s="59">
        <v>1</v>
      </c>
      <c r="H84" s="59">
        <v>1</v>
      </c>
      <c r="I84" s="59">
        <v>1</v>
      </c>
      <c r="J84" s="59">
        <v>1</v>
      </c>
      <c r="K84" s="59">
        <v>1</v>
      </c>
      <c r="L84" s="60">
        <v>1</v>
      </c>
      <c r="M84" s="61">
        <v>2</v>
      </c>
      <c r="N84" s="61">
        <v>2</v>
      </c>
      <c r="O84" s="61">
        <v>2</v>
      </c>
      <c r="P84" s="61">
        <v>2</v>
      </c>
      <c r="Q84" s="61">
        <v>1</v>
      </c>
      <c r="R84" s="61">
        <v>2</v>
      </c>
      <c r="S84" s="61">
        <v>2</v>
      </c>
      <c r="T84" s="37">
        <f t="shared" ref="T84:T85" si="27">SUM(E84:S84)</f>
        <v>21</v>
      </c>
      <c r="U84" s="57" t="str" cm="1">
        <f t="array" ref="U84">_xlfn.IFS( AND(T84&gt;=15,T84&lt;=25),"1", AND(T84&gt;=26,T84&lt;=35),"2", AND(T84&gt;=36,T84&lt;=45),"3")</f>
        <v>1</v>
      </c>
      <c r="V84" s="58">
        <v>2</v>
      </c>
      <c r="W84" s="58">
        <f t="shared" si="26"/>
        <v>2</v>
      </c>
      <c r="X84" s="50"/>
    </row>
    <row r="85" spans="1:24" ht="15.9" customHeight="1" x14ac:dyDescent="0.6">
      <c r="A85" s="53">
        <v>81</v>
      </c>
      <c r="B85" s="51" t="s">
        <v>1</v>
      </c>
      <c r="C85" s="63" t="s">
        <v>180</v>
      </c>
      <c r="D85" s="52" t="s">
        <v>177</v>
      </c>
      <c r="E85" s="59">
        <v>1</v>
      </c>
      <c r="F85" s="59">
        <v>1</v>
      </c>
      <c r="G85" s="59">
        <v>1</v>
      </c>
      <c r="H85" s="59">
        <v>1</v>
      </c>
      <c r="I85" s="59">
        <v>1</v>
      </c>
      <c r="J85" s="59">
        <v>1</v>
      </c>
      <c r="K85" s="59">
        <v>1</v>
      </c>
      <c r="L85" s="60">
        <v>1</v>
      </c>
      <c r="M85" s="61">
        <v>2</v>
      </c>
      <c r="N85" s="61">
        <v>2</v>
      </c>
      <c r="O85" s="61">
        <v>2</v>
      </c>
      <c r="P85" s="61">
        <v>2</v>
      </c>
      <c r="Q85" s="61">
        <v>1</v>
      </c>
      <c r="R85" s="61">
        <v>2</v>
      </c>
      <c r="S85" s="61">
        <v>2</v>
      </c>
      <c r="T85" s="37">
        <f t="shared" si="27"/>
        <v>21</v>
      </c>
      <c r="U85" s="57" t="str" cm="1">
        <f t="array" ref="U85">_xlfn.IFS( AND(T85&gt;=15,T85&lt;=25),"1", AND(T85&gt;=26,T85&lt;=35),"2", AND(T85&gt;=36,T85&lt;=45),"3")</f>
        <v>1</v>
      </c>
      <c r="V85" s="58">
        <v>2</v>
      </c>
      <c r="W85" s="58">
        <f t="shared" si="26"/>
        <v>2</v>
      </c>
      <c r="X85" s="50"/>
    </row>
    <row r="86" spans="1:24" ht="15.9" customHeight="1" x14ac:dyDescent="0.6">
      <c r="A86" s="53">
        <v>82</v>
      </c>
      <c r="B86" s="51" t="s">
        <v>1</v>
      </c>
      <c r="C86" s="63" t="s">
        <v>181</v>
      </c>
      <c r="D86" s="52" t="s">
        <v>184</v>
      </c>
      <c r="E86" s="59">
        <v>1</v>
      </c>
      <c r="F86" s="59">
        <v>1</v>
      </c>
      <c r="G86" s="59">
        <v>1</v>
      </c>
      <c r="H86" s="59">
        <v>1</v>
      </c>
      <c r="I86" s="59">
        <v>1</v>
      </c>
      <c r="J86" s="59">
        <v>1</v>
      </c>
      <c r="K86" s="59">
        <v>1</v>
      </c>
      <c r="L86" s="60">
        <v>1</v>
      </c>
      <c r="M86" s="61">
        <v>2</v>
      </c>
      <c r="N86" s="61">
        <v>2</v>
      </c>
      <c r="O86" s="61">
        <v>2</v>
      </c>
      <c r="P86" s="61">
        <v>2</v>
      </c>
      <c r="Q86" s="61">
        <v>1</v>
      </c>
      <c r="R86" s="61">
        <v>2</v>
      </c>
      <c r="S86" s="61">
        <v>2</v>
      </c>
      <c r="T86" s="37">
        <f>SUM(E86:S86)</f>
        <v>21</v>
      </c>
      <c r="U86" s="57" t="str" cm="1">
        <f t="array" ref="U86">_xlfn.IFS( AND(T86&gt;=15,T86&lt;=25),"1", AND(T86&gt;=26,T86&lt;=35),"2", AND(T86&gt;=36,T86&lt;=45),"3")</f>
        <v>1</v>
      </c>
      <c r="V86" s="58">
        <v>2</v>
      </c>
      <c r="W86" s="58">
        <f t="shared" si="26"/>
        <v>2</v>
      </c>
      <c r="X86" s="4"/>
    </row>
    <row r="87" spans="1:24" ht="15.9" customHeight="1" x14ac:dyDescent="0.6">
      <c r="A87" s="53">
        <v>83</v>
      </c>
      <c r="B87" s="51" t="s">
        <v>1</v>
      </c>
      <c r="C87" s="63" t="s">
        <v>182</v>
      </c>
      <c r="D87" s="52" t="s">
        <v>184</v>
      </c>
      <c r="E87" s="59">
        <v>1</v>
      </c>
      <c r="F87" s="59">
        <v>1</v>
      </c>
      <c r="G87" s="59">
        <v>1</v>
      </c>
      <c r="H87" s="59">
        <v>1</v>
      </c>
      <c r="I87" s="59">
        <v>1</v>
      </c>
      <c r="J87" s="59">
        <v>1</v>
      </c>
      <c r="K87" s="59">
        <v>1</v>
      </c>
      <c r="L87" s="60">
        <v>1</v>
      </c>
      <c r="M87" s="61">
        <v>2</v>
      </c>
      <c r="N87" s="61">
        <v>2</v>
      </c>
      <c r="O87" s="61">
        <v>2</v>
      </c>
      <c r="P87" s="61">
        <v>2</v>
      </c>
      <c r="Q87" s="61">
        <v>1</v>
      </c>
      <c r="R87" s="61">
        <v>2</v>
      </c>
      <c r="S87" s="61">
        <v>2</v>
      </c>
      <c r="T87" s="37">
        <f t="shared" ref="T87:T88" si="28">SUM(E87:S87)</f>
        <v>21</v>
      </c>
      <c r="U87" s="57" t="str" cm="1">
        <f t="array" ref="U87">_xlfn.IFS( AND(T87&gt;=15,T87&lt;=25),"1", AND(T87&gt;=26,T87&lt;=35),"2", AND(T87&gt;=36,T87&lt;=45),"3")</f>
        <v>1</v>
      </c>
      <c r="V87" s="58">
        <v>2</v>
      </c>
      <c r="W87" s="58">
        <f t="shared" si="26"/>
        <v>2</v>
      </c>
      <c r="X87" s="50"/>
    </row>
    <row r="88" spans="1:24" ht="15.9" customHeight="1" x14ac:dyDescent="0.6">
      <c r="A88" s="51">
        <v>84</v>
      </c>
      <c r="B88" s="51" t="s">
        <v>1</v>
      </c>
      <c r="C88" s="63" t="s">
        <v>183</v>
      </c>
      <c r="D88" s="52" t="s">
        <v>184</v>
      </c>
      <c r="E88" s="59">
        <v>1</v>
      </c>
      <c r="F88" s="59">
        <v>1</v>
      </c>
      <c r="G88" s="59">
        <v>1</v>
      </c>
      <c r="H88" s="59">
        <v>1</v>
      </c>
      <c r="I88" s="59">
        <v>1</v>
      </c>
      <c r="J88" s="59">
        <v>1</v>
      </c>
      <c r="K88" s="59">
        <v>1</v>
      </c>
      <c r="L88" s="60">
        <v>1</v>
      </c>
      <c r="M88" s="61">
        <v>2</v>
      </c>
      <c r="N88" s="61">
        <v>2</v>
      </c>
      <c r="O88" s="61">
        <v>2</v>
      </c>
      <c r="P88" s="61">
        <v>2</v>
      </c>
      <c r="Q88" s="61">
        <v>1</v>
      </c>
      <c r="R88" s="61">
        <v>2</v>
      </c>
      <c r="S88" s="61">
        <v>2</v>
      </c>
      <c r="T88" s="37">
        <f t="shared" si="28"/>
        <v>21</v>
      </c>
      <c r="U88" s="57" t="str" cm="1">
        <f t="array" ref="U88">_xlfn.IFS( AND(T88&gt;=15,T88&lt;=25),"1", AND(T88&gt;=26,T88&lt;=35),"2", AND(T88&gt;=36,T88&lt;=45),"3")</f>
        <v>1</v>
      </c>
      <c r="V88" s="58">
        <v>2</v>
      </c>
      <c r="W88" s="58">
        <f t="shared" si="26"/>
        <v>2</v>
      </c>
      <c r="X88" s="50"/>
    </row>
    <row r="89" spans="1:24" ht="15.9" customHeight="1" x14ac:dyDescent="0.6">
      <c r="A89" s="51">
        <v>85</v>
      </c>
      <c r="B89" s="51" t="s">
        <v>1</v>
      </c>
      <c r="C89" s="63" t="s">
        <v>185</v>
      </c>
      <c r="D89" s="52" t="s">
        <v>184</v>
      </c>
      <c r="E89" s="59">
        <v>2</v>
      </c>
      <c r="F89" s="59">
        <v>1</v>
      </c>
      <c r="G89" s="59">
        <v>1</v>
      </c>
      <c r="H89" s="59">
        <v>1</v>
      </c>
      <c r="I89" s="59">
        <v>2</v>
      </c>
      <c r="J89" s="59">
        <v>2</v>
      </c>
      <c r="K89" s="59">
        <v>2</v>
      </c>
      <c r="L89" s="60">
        <v>1</v>
      </c>
      <c r="M89" s="61">
        <v>2</v>
      </c>
      <c r="N89" s="61">
        <v>2</v>
      </c>
      <c r="O89" s="61">
        <v>2</v>
      </c>
      <c r="P89" s="61">
        <v>2</v>
      </c>
      <c r="Q89" s="61">
        <v>1</v>
      </c>
      <c r="R89" s="61">
        <v>2</v>
      </c>
      <c r="S89" s="61">
        <v>2</v>
      </c>
      <c r="T89" s="37">
        <f>SUM(E89:S89)</f>
        <v>25</v>
      </c>
      <c r="U89" s="57" t="str" cm="1">
        <f t="array" ref="U89">_xlfn.IFS( AND(T89&gt;=15,T89&lt;=25),"1", AND(T89&gt;=26,T89&lt;=35),"2", AND(T89&gt;=36,T89&lt;=45),"3")</f>
        <v>1</v>
      </c>
      <c r="V89" s="58">
        <v>2</v>
      </c>
      <c r="W89" s="58">
        <f t="shared" ref="W89:W91" si="29">V89*U89</f>
        <v>2</v>
      </c>
      <c r="X89" s="4"/>
    </row>
    <row r="90" spans="1:24" ht="15.9" customHeight="1" x14ac:dyDescent="0.6">
      <c r="A90" s="53">
        <v>86</v>
      </c>
      <c r="B90" s="51" t="s">
        <v>1</v>
      </c>
      <c r="C90" s="63" t="s">
        <v>186</v>
      </c>
      <c r="D90" s="52" t="s">
        <v>187</v>
      </c>
      <c r="E90" s="59">
        <v>1</v>
      </c>
      <c r="F90" s="59">
        <v>1</v>
      </c>
      <c r="G90" s="59">
        <v>1</v>
      </c>
      <c r="H90" s="59">
        <v>1</v>
      </c>
      <c r="I90" s="59">
        <v>1</v>
      </c>
      <c r="J90" s="59">
        <v>1</v>
      </c>
      <c r="K90" s="59">
        <v>1</v>
      </c>
      <c r="L90" s="60">
        <v>1</v>
      </c>
      <c r="M90" s="61">
        <v>2</v>
      </c>
      <c r="N90" s="61">
        <v>2</v>
      </c>
      <c r="O90" s="61">
        <v>1</v>
      </c>
      <c r="P90" s="61">
        <v>2</v>
      </c>
      <c r="Q90" s="61">
        <v>1</v>
      </c>
      <c r="R90" s="61">
        <v>1</v>
      </c>
      <c r="S90" s="61">
        <v>1</v>
      </c>
      <c r="T90" s="37">
        <f t="shared" ref="T90:T91" si="30">SUM(E90:S90)</f>
        <v>18</v>
      </c>
      <c r="U90" s="57" t="str" cm="1">
        <f t="array" ref="U90">_xlfn.IFS( AND(T90&gt;=15,T90&lt;=25),"1", AND(T90&gt;=26,T90&lt;=35),"2", AND(T90&gt;=36,T90&lt;=45),"3")</f>
        <v>1</v>
      </c>
      <c r="V90" s="58">
        <v>2</v>
      </c>
      <c r="W90" s="58">
        <f t="shared" si="29"/>
        <v>2</v>
      </c>
      <c r="X90" s="50"/>
    </row>
    <row r="91" spans="1:24" ht="15.9" customHeight="1" x14ac:dyDescent="0.6">
      <c r="A91" s="53">
        <v>87</v>
      </c>
      <c r="B91" s="51" t="s">
        <v>1</v>
      </c>
      <c r="C91" s="63" t="s">
        <v>188</v>
      </c>
      <c r="D91" s="5" t="s">
        <v>189</v>
      </c>
      <c r="E91" s="59">
        <v>1</v>
      </c>
      <c r="F91" s="59">
        <v>1</v>
      </c>
      <c r="G91" s="59">
        <v>1</v>
      </c>
      <c r="H91" s="59">
        <v>1</v>
      </c>
      <c r="I91" s="59">
        <v>1</v>
      </c>
      <c r="J91" s="59">
        <v>1</v>
      </c>
      <c r="K91" s="59">
        <v>1</v>
      </c>
      <c r="L91" s="60">
        <v>1</v>
      </c>
      <c r="M91" s="61">
        <v>2</v>
      </c>
      <c r="N91" s="61">
        <v>2</v>
      </c>
      <c r="O91" s="61">
        <v>1</v>
      </c>
      <c r="P91" s="61">
        <v>2</v>
      </c>
      <c r="Q91" s="61">
        <v>1</v>
      </c>
      <c r="R91" s="61">
        <v>1</v>
      </c>
      <c r="S91" s="61">
        <v>1</v>
      </c>
      <c r="T91" s="37">
        <f t="shared" si="30"/>
        <v>18</v>
      </c>
      <c r="U91" s="57" t="str" cm="1">
        <f t="array" ref="U91">_xlfn.IFS( AND(T91&gt;=15,T91&lt;=25),"1", AND(T91&gt;=26,T91&lt;=35),"2", AND(T91&gt;=36,T91&lt;=45),"3")</f>
        <v>1</v>
      </c>
      <c r="V91" s="58">
        <v>3</v>
      </c>
      <c r="W91" s="58">
        <f t="shared" si="29"/>
        <v>3</v>
      </c>
      <c r="X91" s="50"/>
    </row>
    <row r="92" spans="1:24" ht="15.9" customHeight="1" x14ac:dyDescent="0.6">
      <c r="A92" s="53">
        <v>88</v>
      </c>
      <c r="B92" s="51" t="s">
        <v>1</v>
      </c>
      <c r="C92" s="63" t="s">
        <v>190</v>
      </c>
      <c r="D92" s="52" t="s">
        <v>191</v>
      </c>
      <c r="E92" s="59">
        <v>1</v>
      </c>
      <c r="F92" s="59">
        <v>1</v>
      </c>
      <c r="G92" s="59">
        <v>2</v>
      </c>
      <c r="H92" s="59">
        <v>1</v>
      </c>
      <c r="I92" s="59">
        <v>1</v>
      </c>
      <c r="J92" s="59">
        <v>1</v>
      </c>
      <c r="K92" s="59">
        <v>1</v>
      </c>
      <c r="L92" s="60">
        <v>1</v>
      </c>
      <c r="M92" s="61">
        <v>2</v>
      </c>
      <c r="N92" s="61">
        <v>2</v>
      </c>
      <c r="O92" s="61">
        <v>1</v>
      </c>
      <c r="P92" s="61">
        <v>2</v>
      </c>
      <c r="Q92" s="61">
        <v>1</v>
      </c>
      <c r="R92" s="61">
        <v>1</v>
      </c>
      <c r="S92" s="61">
        <v>1</v>
      </c>
      <c r="T92" s="37">
        <f>SUM(E92:S92)</f>
        <v>19</v>
      </c>
      <c r="U92" s="57" t="str" cm="1">
        <f t="array" ref="U92">_xlfn.IFS( AND(T92&gt;=15,T92&lt;=25),"1", AND(T92&gt;=26,T92&lt;=35),"2", AND(T92&gt;=36,T92&lt;=45),"3")</f>
        <v>1</v>
      </c>
      <c r="V92" s="58">
        <v>3</v>
      </c>
      <c r="W92" s="58">
        <f t="shared" ref="W92:W103" si="31">V92*U92</f>
        <v>3</v>
      </c>
      <c r="X92" s="4"/>
    </row>
    <row r="93" spans="1:24" ht="15.9" customHeight="1" x14ac:dyDescent="0.6">
      <c r="A93" s="51">
        <v>89</v>
      </c>
      <c r="B93" s="51" t="s">
        <v>2</v>
      </c>
      <c r="C93" s="63" t="s">
        <v>192</v>
      </c>
      <c r="D93" s="52" t="s">
        <v>219</v>
      </c>
      <c r="E93" s="59">
        <v>1</v>
      </c>
      <c r="F93" s="59">
        <v>2</v>
      </c>
      <c r="G93" s="59">
        <v>3</v>
      </c>
      <c r="H93" s="59">
        <v>1</v>
      </c>
      <c r="I93" s="59">
        <v>1</v>
      </c>
      <c r="J93" s="59">
        <v>2</v>
      </c>
      <c r="K93" s="59">
        <v>2</v>
      </c>
      <c r="L93" s="60">
        <v>2</v>
      </c>
      <c r="M93" s="61">
        <v>3</v>
      </c>
      <c r="N93" s="61">
        <v>2</v>
      </c>
      <c r="O93" s="61">
        <v>2</v>
      </c>
      <c r="P93" s="61">
        <v>2</v>
      </c>
      <c r="Q93" s="61">
        <v>1</v>
      </c>
      <c r="R93" s="61">
        <v>2</v>
      </c>
      <c r="S93" s="61">
        <v>2</v>
      </c>
      <c r="T93" s="37">
        <f t="shared" ref="T93:T94" si="32">SUM(E93:S93)</f>
        <v>28</v>
      </c>
      <c r="U93" s="57" t="str" cm="1">
        <f t="array" ref="U93">_xlfn.IFS( AND(T93&gt;=15,T93&lt;=25),"1", AND(T93&gt;=26,T93&lt;=35),"2", AND(T93&gt;=36,T93&lt;=45),"3")</f>
        <v>2</v>
      </c>
      <c r="V93" s="58">
        <v>3</v>
      </c>
      <c r="W93" s="58">
        <f t="shared" si="31"/>
        <v>6</v>
      </c>
      <c r="X93" s="50" t="s">
        <v>221</v>
      </c>
    </row>
    <row r="94" spans="1:24" ht="15.9" customHeight="1" x14ac:dyDescent="0.6">
      <c r="A94" s="51">
        <v>90</v>
      </c>
      <c r="B94" s="51" t="s">
        <v>2</v>
      </c>
      <c r="C94" s="63" t="s">
        <v>193</v>
      </c>
      <c r="D94" s="52" t="s">
        <v>219</v>
      </c>
      <c r="E94" s="59">
        <v>1</v>
      </c>
      <c r="F94" s="59">
        <v>2</v>
      </c>
      <c r="G94" s="59">
        <v>3</v>
      </c>
      <c r="H94" s="59">
        <v>1</v>
      </c>
      <c r="I94" s="59">
        <v>1</v>
      </c>
      <c r="J94" s="59">
        <v>2</v>
      </c>
      <c r="K94" s="59">
        <v>2</v>
      </c>
      <c r="L94" s="60">
        <v>2</v>
      </c>
      <c r="M94" s="61">
        <v>3</v>
      </c>
      <c r="N94" s="61">
        <v>2</v>
      </c>
      <c r="O94" s="61">
        <v>2</v>
      </c>
      <c r="P94" s="61">
        <v>2</v>
      </c>
      <c r="Q94" s="61">
        <v>1</v>
      </c>
      <c r="R94" s="61">
        <v>2</v>
      </c>
      <c r="S94" s="61">
        <v>2</v>
      </c>
      <c r="T94" s="37">
        <f t="shared" si="32"/>
        <v>28</v>
      </c>
      <c r="U94" s="57" t="str" cm="1">
        <f t="array" ref="U94">_xlfn.IFS( AND(T94&gt;=15,T94&lt;=25),"1", AND(T94&gt;=26,T94&lt;=35),"2", AND(T94&gt;=36,T94&lt;=45),"3")</f>
        <v>2</v>
      </c>
      <c r="V94" s="58">
        <v>3</v>
      </c>
      <c r="W94" s="58">
        <f t="shared" si="31"/>
        <v>6</v>
      </c>
      <c r="X94" s="50" t="s">
        <v>221</v>
      </c>
    </row>
    <row r="95" spans="1:24" ht="15.9" customHeight="1" x14ac:dyDescent="0.6">
      <c r="A95" s="53">
        <v>91</v>
      </c>
      <c r="B95" s="51" t="s">
        <v>2</v>
      </c>
      <c r="C95" s="63" t="s">
        <v>194</v>
      </c>
      <c r="D95" s="52" t="s">
        <v>219</v>
      </c>
      <c r="E95" s="59">
        <v>1</v>
      </c>
      <c r="F95" s="59">
        <v>2</v>
      </c>
      <c r="G95" s="59">
        <v>3</v>
      </c>
      <c r="H95" s="59">
        <v>1</v>
      </c>
      <c r="I95" s="59">
        <v>1</v>
      </c>
      <c r="J95" s="59">
        <v>2</v>
      </c>
      <c r="K95" s="59">
        <v>2</v>
      </c>
      <c r="L95" s="60">
        <v>2</v>
      </c>
      <c r="M95" s="61">
        <v>3</v>
      </c>
      <c r="N95" s="61">
        <v>2</v>
      </c>
      <c r="O95" s="61">
        <v>2</v>
      </c>
      <c r="P95" s="61">
        <v>2</v>
      </c>
      <c r="Q95" s="61">
        <v>1</v>
      </c>
      <c r="R95" s="61">
        <v>2</v>
      </c>
      <c r="S95" s="61">
        <v>2</v>
      </c>
      <c r="T95" s="37">
        <f>SUM(E95:S95)</f>
        <v>28</v>
      </c>
      <c r="U95" s="57" t="str" cm="1">
        <f t="array" ref="U95">_xlfn.IFS( AND(T95&gt;=15,T95&lt;=25),"1", AND(T95&gt;=26,T95&lt;=35),"2", AND(T95&gt;=36,T95&lt;=45),"3")</f>
        <v>2</v>
      </c>
      <c r="V95" s="58">
        <v>3</v>
      </c>
      <c r="W95" s="58">
        <f t="shared" si="31"/>
        <v>6</v>
      </c>
      <c r="X95" s="4" t="s">
        <v>221</v>
      </c>
    </row>
    <row r="96" spans="1:24" ht="15.9" customHeight="1" x14ac:dyDescent="0.6">
      <c r="A96" s="53">
        <v>92</v>
      </c>
      <c r="B96" s="51" t="s">
        <v>2</v>
      </c>
      <c r="C96" s="63" t="s">
        <v>195</v>
      </c>
      <c r="D96" s="52" t="s">
        <v>219</v>
      </c>
      <c r="E96" s="59">
        <v>1</v>
      </c>
      <c r="F96" s="59">
        <v>1</v>
      </c>
      <c r="G96" s="59">
        <v>2</v>
      </c>
      <c r="H96" s="59">
        <v>1</v>
      </c>
      <c r="I96" s="59">
        <v>1</v>
      </c>
      <c r="J96" s="59">
        <v>1</v>
      </c>
      <c r="K96" s="59">
        <v>2</v>
      </c>
      <c r="L96" s="60">
        <v>1</v>
      </c>
      <c r="M96" s="61">
        <v>2</v>
      </c>
      <c r="N96" s="61">
        <v>2</v>
      </c>
      <c r="O96" s="61">
        <v>1</v>
      </c>
      <c r="P96" s="61">
        <v>2</v>
      </c>
      <c r="Q96" s="61">
        <v>1</v>
      </c>
      <c r="R96" s="61">
        <v>2</v>
      </c>
      <c r="S96" s="61">
        <v>1</v>
      </c>
      <c r="T96" s="37">
        <f t="shared" ref="T96:T97" si="33">SUM(E96:S96)</f>
        <v>21</v>
      </c>
      <c r="U96" s="57" t="str" cm="1">
        <f t="array" ref="U96">_xlfn.IFS( AND(T96&gt;=15,T96&lt;=25),"1", AND(T96&gt;=26,T96&lt;=35),"2", AND(T96&gt;=36,T96&lt;=45),"3")</f>
        <v>1</v>
      </c>
      <c r="V96" s="58">
        <v>3</v>
      </c>
      <c r="W96" s="58">
        <f t="shared" si="31"/>
        <v>3</v>
      </c>
      <c r="X96" s="50"/>
    </row>
    <row r="97" spans="1:24" ht="15.9" customHeight="1" x14ac:dyDescent="0.6">
      <c r="A97" s="53">
        <v>93</v>
      </c>
      <c r="B97" s="51" t="s">
        <v>2</v>
      </c>
      <c r="C97" s="63" t="s">
        <v>196</v>
      </c>
      <c r="D97" s="52" t="s">
        <v>219</v>
      </c>
      <c r="E97" s="59">
        <v>1</v>
      </c>
      <c r="F97" s="59">
        <v>1</v>
      </c>
      <c r="G97" s="59">
        <v>2</v>
      </c>
      <c r="H97" s="59">
        <v>1</v>
      </c>
      <c r="I97" s="59">
        <v>1</v>
      </c>
      <c r="J97" s="59">
        <v>2</v>
      </c>
      <c r="K97" s="59">
        <v>2</v>
      </c>
      <c r="L97" s="60">
        <v>1</v>
      </c>
      <c r="M97" s="61">
        <v>2</v>
      </c>
      <c r="N97" s="61">
        <v>2</v>
      </c>
      <c r="O97" s="61">
        <v>2</v>
      </c>
      <c r="P97" s="61">
        <v>2</v>
      </c>
      <c r="Q97" s="61">
        <v>1</v>
      </c>
      <c r="R97" s="61">
        <v>2</v>
      </c>
      <c r="S97" s="61">
        <v>2</v>
      </c>
      <c r="T97" s="37">
        <f t="shared" si="33"/>
        <v>24</v>
      </c>
      <c r="U97" s="57" t="str" cm="1">
        <f t="array" ref="U97">_xlfn.IFS( AND(T97&gt;=15,T97&lt;=25),"1", AND(T97&gt;=26,T97&lt;=35),"2", AND(T97&gt;=36,T97&lt;=45),"3")</f>
        <v>1</v>
      </c>
      <c r="V97" s="58">
        <v>3</v>
      </c>
      <c r="W97" s="58">
        <f t="shared" si="31"/>
        <v>3</v>
      </c>
      <c r="X97" s="50"/>
    </row>
    <row r="98" spans="1:24" ht="15.9" customHeight="1" x14ac:dyDescent="0.6">
      <c r="A98" s="51">
        <v>94</v>
      </c>
      <c r="B98" s="51" t="s">
        <v>197</v>
      </c>
      <c r="C98" s="63" t="s">
        <v>199</v>
      </c>
      <c r="D98" s="52" t="s">
        <v>198</v>
      </c>
      <c r="E98" s="59">
        <v>1</v>
      </c>
      <c r="F98" s="59">
        <v>1</v>
      </c>
      <c r="G98" s="59">
        <v>1</v>
      </c>
      <c r="H98" s="59">
        <v>1</v>
      </c>
      <c r="I98" s="59">
        <v>1</v>
      </c>
      <c r="J98" s="59">
        <v>1</v>
      </c>
      <c r="K98" s="59">
        <v>1</v>
      </c>
      <c r="L98" s="60">
        <v>1</v>
      </c>
      <c r="M98" s="61">
        <v>2</v>
      </c>
      <c r="N98" s="61">
        <v>2</v>
      </c>
      <c r="O98" s="61">
        <v>1</v>
      </c>
      <c r="P98" s="61">
        <v>2</v>
      </c>
      <c r="Q98" s="61">
        <v>1</v>
      </c>
      <c r="R98" s="61">
        <v>1</v>
      </c>
      <c r="S98" s="61">
        <v>1</v>
      </c>
      <c r="T98" s="37">
        <f>SUM(E98:S98)</f>
        <v>18</v>
      </c>
      <c r="U98" s="57" t="str" cm="1">
        <f t="array" ref="U98">_xlfn.IFS( AND(T98&gt;=15,T98&lt;=25),"1", AND(T98&gt;=26,T98&lt;=35),"2", AND(T98&gt;=36,T98&lt;=45),"3")</f>
        <v>1</v>
      </c>
      <c r="V98" s="58">
        <v>3</v>
      </c>
      <c r="W98" s="58">
        <f t="shared" si="31"/>
        <v>3</v>
      </c>
      <c r="X98" s="4"/>
    </row>
    <row r="99" spans="1:24" ht="15.9" customHeight="1" x14ac:dyDescent="0.6">
      <c r="A99" s="51">
        <v>95</v>
      </c>
      <c r="B99" s="51" t="s">
        <v>197</v>
      </c>
      <c r="C99" s="63" t="s">
        <v>200</v>
      </c>
      <c r="D99" s="52" t="s">
        <v>198</v>
      </c>
      <c r="E99" s="59">
        <v>1</v>
      </c>
      <c r="F99" s="59">
        <v>1</v>
      </c>
      <c r="G99" s="59">
        <v>1</v>
      </c>
      <c r="H99" s="59">
        <v>1</v>
      </c>
      <c r="I99" s="59">
        <v>1</v>
      </c>
      <c r="J99" s="59">
        <v>1</v>
      </c>
      <c r="K99" s="59">
        <v>1</v>
      </c>
      <c r="L99" s="60">
        <v>1</v>
      </c>
      <c r="M99" s="61">
        <v>2</v>
      </c>
      <c r="N99" s="61">
        <v>2</v>
      </c>
      <c r="O99" s="61">
        <v>1</v>
      </c>
      <c r="P99" s="61">
        <v>2</v>
      </c>
      <c r="Q99" s="61">
        <v>1</v>
      </c>
      <c r="R99" s="61">
        <v>1</v>
      </c>
      <c r="S99" s="61">
        <v>1</v>
      </c>
      <c r="T99" s="37">
        <f t="shared" ref="T99:T100" si="34">SUM(E99:S99)</f>
        <v>18</v>
      </c>
      <c r="U99" s="57" t="str" cm="1">
        <f t="array" ref="U99">_xlfn.IFS( AND(T99&gt;=15,T99&lt;=25),"1", AND(T99&gt;=26,T99&lt;=35),"2", AND(T99&gt;=36,T99&lt;=45),"3")</f>
        <v>1</v>
      </c>
      <c r="V99" s="58">
        <v>3</v>
      </c>
      <c r="W99" s="58">
        <f t="shared" si="31"/>
        <v>3</v>
      </c>
      <c r="X99" s="50"/>
    </row>
    <row r="100" spans="1:24" ht="15.9" customHeight="1" x14ac:dyDescent="0.6">
      <c r="A100" s="53">
        <v>96</v>
      </c>
      <c r="B100" s="51" t="s">
        <v>197</v>
      </c>
      <c r="C100" s="63" t="s">
        <v>201</v>
      </c>
      <c r="D100" s="52" t="s">
        <v>198</v>
      </c>
      <c r="E100" s="59">
        <v>1</v>
      </c>
      <c r="F100" s="59">
        <v>1</v>
      </c>
      <c r="G100" s="59">
        <v>1</v>
      </c>
      <c r="H100" s="59">
        <v>1</v>
      </c>
      <c r="I100" s="59">
        <v>1</v>
      </c>
      <c r="J100" s="59">
        <v>1</v>
      </c>
      <c r="K100" s="59">
        <v>1</v>
      </c>
      <c r="L100" s="60">
        <v>1</v>
      </c>
      <c r="M100" s="61">
        <v>2</v>
      </c>
      <c r="N100" s="61">
        <v>2</v>
      </c>
      <c r="O100" s="61">
        <v>1</v>
      </c>
      <c r="P100" s="61">
        <v>2</v>
      </c>
      <c r="Q100" s="61">
        <v>1</v>
      </c>
      <c r="R100" s="61">
        <v>1</v>
      </c>
      <c r="S100" s="61">
        <v>1</v>
      </c>
      <c r="T100" s="37">
        <f t="shared" si="34"/>
        <v>18</v>
      </c>
      <c r="U100" s="57" t="str" cm="1">
        <f t="array" ref="U100">_xlfn.IFS( AND(T100&gt;=15,T100&lt;=25),"1", AND(T100&gt;=26,T100&lt;=35),"2", AND(T100&gt;=36,T100&lt;=45),"3")</f>
        <v>1</v>
      </c>
      <c r="V100" s="58">
        <v>3</v>
      </c>
      <c r="W100" s="58">
        <f t="shared" si="31"/>
        <v>3</v>
      </c>
      <c r="X100" s="50"/>
    </row>
    <row r="101" spans="1:24" ht="15.9" customHeight="1" x14ac:dyDescent="0.6">
      <c r="A101" s="53">
        <v>97</v>
      </c>
      <c r="B101" s="51" t="s">
        <v>197</v>
      </c>
      <c r="C101" s="63" t="s">
        <v>202</v>
      </c>
      <c r="D101" s="52" t="s">
        <v>198</v>
      </c>
      <c r="E101" s="59">
        <v>1</v>
      </c>
      <c r="F101" s="59">
        <v>1</v>
      </c>
      <c r="G101" s="59">
        <v>1</v>
      </c>
      <c r="H101" s="59">
        <v>1</v>
      </c>
      <c r="I101" s="59">
        <v>1</v>
      </c>
      <c r="J101" s="59">
        <v>1</v>
      </c>
      <c r="K101" s="59">
        <v>1</v>
      </c>
      <c r="L101" s="60">
        <v>1</v>
      </c>
      <c r="M101" s="61">
        <v>2</v>
      </c>
      <c r="N101" s="61">
        <v>2</v>
      </c>
      <c r="O101" s="61">
        <v>1</v>
      </c>
      <c r="P101" s="61">
        <v>2</v>
      </c>
      <c r="Q101" s="61">
        <v>1</v>
      </c>
      <c r="R101" s="61">
        <v>1</v>
      </c>
      <c r="S101" s="61">
        <v>1</v>
      </c>
      <c r="T101" s="37">
        <f>SUM(E101:S101)</f>
        <v>18</v>
      </c>
      <c r="U101" s="57" t="str" cm="1">
        <f t="array" ref="U101">_xlfn.IFS( AND(T101&gt;=15,T101&lt;=25),"1", AND(T101&gt;=26,T101&lt;=35),"2", AND(T101&gt;=36,T101&lt;=45),"3")</f>
        <v>1</v>
      </c>
      <c r="V101" s="58">
        <v>3</v>
      </c>
      <c r="W101" s="58">
        <f t="shared" si="31"/>
        <v>3</v>
      </c>
      <c r="X101" s="4"/>
    </row>
    <row r="102" spans="1:24" ht="15.9" customHeight="1" x14ac:dyDescent="0.6">
      <c r="A102" s="53">
        <v>98</v>
      </c>
      <c r="B102" s="51" t="s">
        <v>197</v>
      </c>
      <c r="C102" s="63" t="s">
        <v>204</v>
      </c>
      <c r="D102" s="52" t="s">
        <v>198</v>
      </c>
      <c r="E102" s="59">
        <v>1</v>
      </c>
      <c r="F102" s="59">
        <v>1</v>
      </c>
      <c r="G102" s="59">
        <v>1</v>
      </c>
      <c r="H102" s="59">
        <v>1</v>
      </c>
      <c r="I102" s="59">
        <v>1</v>
      </c>
      <c r="J102" s="59">
        <v>1</v>
      </c>
      <c r="K102" s="59">
        <v>1</v>
      </c>
      <c r="L102" s="60">
        <v>1</v>
      </c>
      <c r="M102" s="61">
        <v>2</v>
      </c>
      <c r="N102" s="61">
        <v>2</v>
      </c>
      <c r="O102" s="61">
        <v>1</v>
      </c>
      <c r="P102" s="61">
        <v>2</v>
      </c>
      <c r="Q102" s="61">
        <v>1</v>
      </c>
      <c r="R102" s="61">
        <v>1</v>
      </c>
      <c r="S102" s="61">
        <v>1</v>
      </c>
      <c r="T102" s="37">
        <f t="shared" ref="T102:T103" si="35">SUM(E102:S102)</f>
        <v>18</v>
      </c>
      <c r="U102" s="57" t="str" cm="1">
        <f t="array" ref="U102">_xlfn.IFS( AND(T102&gt;=15,T102&lt;=25),"1", AND(T102&gt;=26,T102&lt;=35),"2", AND(T102&gt;=36,T102&lt;=45),"3")</f>
        <v>1</v>
      </c>
      <c r="V102" s="58">
        <v>3</v>
      </c>
      <c r="W102" s="58">
        <f t="shared" si="31"/>
        <v>3</v>
      </c>
      <c r="X102" s="50"/>
    </row>
    <row r="103" spans="1:24" ht="15.9" customHeight="1" x14ac:dyDescent="0.6">
      <c r="A103" s="51">
        <v>99</v>
      </c>
      <c r="B103" s="51" t="s">
        <v>197</v>
      </c>
      <c r="C103" s="63" t="s">
        <v>204</v>
      </c>
      <c r="D103" s="52" t="s">
        <v>198</v>
      </c>
      <c r="E103" s="59">
        <v>1</v>
      </c>
      <c r="F103" s="59">
        <v>1</v>
      </c>
      <c r="G103" s="59">
        <v>1</v>
      </c>
      <c r="H103" s="59">
        <v>1</v>
      </c>
      <c r="I103" s="59">
        <v>1</v>
      </c>
      <c r="J103" s="59">
        <v>1</v>
      </c>
      <c r="K103" s="59">
        <v>1</v>
      </c>
      <c r="L103" s="60">
        <v>1</v>
      </c>
      <c r="M103" s="61">
        <v>2</v>
      </c>
      <c r="N103" s="61">
        <v>2</v>
      </c>
      <c r="O103" s="61">
        <v>1</v>
      </c>
      <c r="P103" s="61">
        <v>2</v>
      </c>
      <c r="Q103" s="61">
        <v>1</v>
      </c>
      <c r="R103" s="61">
        <v>1</v>
      </c>
      <c r="S103" s="61">
        <v>1</v>
      </c>
      <c r="T103" s="37">
        <f t="shared" si="35"/>
        <v>18</v>
      </c>
      <c r="U103" s="57" t="str" cm="1">
        <f t="array" ref="U103">_xlfn.IFS( AND(T103&gt;=15,T103&lt;=25),"1", AND(T103&gt;=26,T103&lt;=35),"2", AND(T103&gt;=36,T103&lt;=45),"3")</f>
        <v>1</v>
      </c>
      <c r="V103" s="58">
        <v>3</v>
      </c>
      <c r="W103" s="58">
        <f t="shared" si="31"/>
        <v>3</v>
      </c>
      <c r="X103" s="50"/>
    </row>
    <row r="104" spans="1:24" ht="15.9" customHeight="1" x14ac:dyDescent="0.6">
      <c r="A104" s="51">
        <v>100</v>
      </c>
      <c r="B104" s="51" t="s">
        <v>197</v>
      </c>
      <c r="C104" s="63" t="s">
        <v>201</v>
      </c>
      <c r="D104" s="52" t="s">
        <v>198</v>
      </c>
      <c r="E104" s="59">
        <v>1</v>
      </c>
      <c r="F104" s="59">
        <v>1</v>
      </c>
      <c r="G104" s="59">
        <v>1</v>
      </c>
      <c r="H104" s="59">
        <v>1</v>
      </c>
      <c r="I104" s="59">
        <v>1</v>
      </c>
      <c r="J104" s="59">
        <v>1</v>
      </c>
      <c r="K104" s="59">
        <v>1</v>
      </c>
      <c r="L104" s="60">
        <v>1</v>
      </c>
      <c r="M104" s="61">
        <v>2</v>
      </c>
      <c r="N104" s="61">
        <v>2</v>
      </c>
      <c r="O104" s="61">
        <v>1</v>
      </c>
      <c r="P104" s="61">
        <v>2</v>
      </c>
      <c r="Q104" s="61">
        <v>1</v>
      </c>
      <c r="R104" s="61">
        <v>1</v>
      </c>
      <c r="S104" s="61">
        <v>1</v>
      </c>
      <c r="T104" s="37">
        <f>SUM(E104:S104)</f>
        <v>18</v>
      </c>
      <c r="U104" s="57" t="str" cm="1">
        <f t="array" ref="U104">_xlfn.IFS( AND(T104&gt;=15,T104&lt;=25),"1", AND(T104&gt;=26,T104&lt;=35),"2", AND(T104&gt;=36,T104&lt;=45),"3")</f>
        <v>1</v>
      </c>
      <c r="V104" s="58">
        <v>3</v>
      </c>
      <c r="W104" s="58">
        <f t="shared" ref="W104:W115" si="36">V104*U104</f>
        <v>3</v>
      </c>
      <c r="X104" s="4"/>
    </row>
    <row r="105" spans="1:24" ht="15.9" customHeight="1" x14ac:dyDescent="0.6">
      <c r="A105" s="53">
        <v>101</v>
      </c>
      <c r="B105" s="51" t="s">
        <v>197</v>
      </c>
      <c r="C105" s="63" t="s">
        <v>205</v>
      </c>
      <c r="D105" s="52" t="s">
        <v>198</v>
      </c>
      <c r="E105" s="59">
        <v>1</v>
      </c>
      <c r="F105" s="59">
        <v>1</v>
      </c>
      <c r="G105" s="59">
        <v>1</v>
      </c>
      <c r="H105" s="59">
        <v>1</v>
      </c>
      <c r="I105" s="59">
        <v>1</v>
      </c>
      <c r="J105" s="59">
        <v>1</v>
      </c>
      <c r="K105" s="59">
        <v>1</v>
      </c>
      <c r="L105" s="60">
        <v>1</v>
      </c>
      <c r="M105" s="61">
        <v>2</v>
      </c>
      <c r="N105" s="61">
        <v>2</v>
      </c>
      <c r="O105" s="61">
        <v>1</v>
      </c>
      <c r="P105" s="61">
        <v>2</v>
      </c>
      <c r="Q105" s="61">
        <v>1</v>
      </c>
      <c r="R105" s="61">
        <v>1</v>
      </c>
      <c r="S105" s="61">
        <v>1</v>
      </c>
      <c r="T105" s="37">
        <f t="shared" ref="T105:T106" si="37">SUM(E105:S105)</f>
        <v>18</v>
      </c>
      <c r="U105" s="57" t="str" cm="1">
        <f t="array" ref="U105">_xlfn.IFS( AND(T105&gt;=15,T105&lt;=25),"1", AND(T105&gt;=26,T105&lt;=35),"2", AND(T105&gt;=36,T105&lt;=45),"3")</f>
        <v>1</v>
      </c>
      <c r="V105" s="58">
        <v>3</v>
      </c>
      <c r="W105" s="58">
        <f t="shared" si="36"/>
        <v>3</v>
      </c>
      <c r="X105" s="50"/>
    </row>
    <row r="106" spans="1:24" ht="15.9" customHeight="1" x14ac:dyDescent="0.6">
      <c r="A106" s="53">
        <v>102</v>
      </c>
      <c r="B106" s="51" t="s">
        <v>197</v>
      </c>
      <c r="C106" s="63" t="s">
        <v>206</v>
      </c>
      <c r="D106" s="52" t="s">
        <v>198</v>
      </c>
      <c r="E106" s="59">
        <v>1</v>
      </c>
      <c r="F106" s="59">
        <v>1</v>
      </c>
      <c r="G106" s="59">
        <v>1</v>
      </c>
      <c r="H106" s="59">
        <v>1</v>
      </c>
      <c r="I106" s="59">
        <v>1</v>
      </c>
      <c r="J106" s="59">
        <v>1</v>
      </c>
      <c r="K106" s="59">
        <v>1</v>
      </c>
      <c r="L106" s="60">
        <v>1</v>
      </c>
      <c r="M106" s="61">
        <v>2</v>
      </c>
      <c r="N106" s="61">
        <v>2</v>
      </c>
      <c r="O106" s="61">
        <v>1</v>
      </c>
      <c r="P106" s="61">
        <v>2</v>
      </c>
      <c r="Q106" s="61">
        <v>1</v>
      </c>
      <c r="R106" s="61">
        <v>1</v>
      </c>
      <c r="S106" s="61">
        <v>1</v>
      </c>
      <c r="T106" s="37">
        <f t="shared" si="37"/>
        <v>18</v>
      </c>
      <c r="U106" s="57" t="str" cm="1">
        <f t="array" ref="U106">_xlfn.IFS( AND(T106&gt;=15,T106&lt;=25),"1", AND(T106&gt;=26,T106&lt;=35),"2", AND(T106&gt;=36,T106&lt;=45),"3")</f>
        <v>1</v>
      </c>
      <c r="V106" s="58">
        <v>3</v>
      </c>
      <c r="W106" s="58">
        <f t="shared" si="36"/>
        <v>3</v>
      </c>
      <c r="X106" s="50"/>
    </row>
    <row r="107" spans="1:24" ht="15.9" customHeight="1" x14ac:dyDescent="0.6">
      <c r="A107" s="53">
        <v>103</v>
      </c>
      <c r="B107" s="51" t="s">
        <v>197</v>
      </c>
      <c r="C107" s="63" t="s">
        <v>203</v>
      </c>
      <c r="D107" s="52" t="s">
        <v>198</v>
      </c>
      <c r="E107" s="59">
        <v>1</v>
      </c>
      <c r="F107" s="59">
        <v>1</v>
      </c>
      <c r="G107" s="59">
        <v>1</v>
      </c>
      <c r="H107" s="59">
        <v>1</v>
      </c>
      <c r="I107" s="59">
        <v>1</v>
      </c>
      <c r="J107" s="59">
        <v>1</v>
      </c>
      <c r="K107" s="59">
        <v>1</v>
      </c>
      <c r="L107" s="60">
        <v>1</v>
      </c>
      <c r="M107" s="61">
        <v>2</v>
      </c>
      <c r="N107" s="61">
        <v>2</v>
      </c>
      <c r="O107" s="61">
        <v>1</v>
      </c>
      <c r="P107" s="61">
        <v>2</v>
      </c>
      <c r="Q107" s="61">
        <v>1</v>
      </c>
      <c r="R107" s="61">
        <v>1</v>
      </c>
      <c r="S107" s="61">
        <v>1</v>
      </c>
      <c r="T107" s="37">
        <f>SUM(E107:S107)</f>
        <v>18</v>
      </c>
      <c r="U107" s="57" t="str" cm="1">
        <f t="array" ref="U107">_xlfn.IFS( AND(T107&gt;=15,T107&lt;=25),"1", AND(T107&gt;=26,T107&lt;=35),"2", AND(T107&gt;=36,T107&lt;=45),"3")</f>
        <v>1</v>
      </c>
      <c r="V107" s="58">
        <v>3</v>
      </c>
      <c r="W107" s="58">
        <f t="shared" si="36"/>
        <v>3</v>
      </c>
      <c r="X107" s="4"/>
    </row>
    <row r="108" spans="1:24" ht="15.9" customHeight="1" x14ac:dyDescent="0.6">
      <c r="A108" s="51">
        <v>104</v>
      </c>
      <c r="B108" s="51" t="s">
        <v>197</v>
      </c>
      <c r="C108" s="63" t="s">
        <v>207</v>
      </c>
      <c r="D108" s="52" t="s">
        <v>198</v>
      </c>
      <c r="E108" s="59">
        <v>1</v>
      </c>
      <c r="F108" s="59">
        <v>1</v>
      </c>
      <c r="G108" s="59">
        <v>1</v>
      </c>
      <c r="H108" s="59">
        <v>1</v>
      </c>
      <c r="I108" s="59">
        <v>1</v>
      </c>
      <c r="J108" s="59">
        <v>1</v>
      </c>
      <c r="K108" s="59">
        <v>1</v>
      </c>
      <c r="L108" s="60">
        <v>1</v>
      </c>
      <c r="M108" s="61">
        <v>2</v>
      </c>
      <c r="N108" s="61">
        <v>2</v>
      </c>
      <c r="O108" s="61">
        <v>1</v>
      </c>
      <c r="P108" s="61">
        <v>2</v>
      </c>
      <c r="Q108" s="61">
        <v>1</v>
      </c>
      <c r="R108" s="61">
        <v>1</v>
      </c>
      <c r="S108" s="61">
        <v>1</v>
      </c>
      <c r="T108" s="37">
        <f t="shared" ref="T108:T109" si="38">SUM(E108:S108)</f>
        <v>18</v>
      </c>
      <c r="U108" s="57" t="str" cm="1">
        <f t="array" ref="U108">_xlfn.IFS( AND(T108&gt;=15,T108&lt;=25),"1", AND(T108&gt;=26,T108&lt;=35),"2", AND(T108&gt;=36,T108&lt;=45),"3")</f>
        <v>1</v>
      </c>
      <c r="V108" s="58">
        <v>3</v>
      </c>
      <c r="W108" s="58">
        <f t="shared" si="36"/>
        <v>3</v>
      </c>
      <c r="X108" s="50"/>
    </row>
    <row r="109" spans="1:24" ht="15.9" customHeight="1" x14ac:dyDescent="0.6">
      <c r="A109" s="51">
        <v>105</v>
      </c>
      <c r="B109" s="51" t="s">
        <v>197</v>
      </c>
      <c r="C109" s="63" t="s">
        <v>199</v>
      </c>
      <c r="D109" s="52" t="s">
        <v>198</v>
      </c>
      <c r="E109" s="59">
        <v>1</v>
      </c>
      <c r="F109" s="59">
        <v>1</v>
      </c>
      <c r="G109" s="59">
        <v>1</v>
      </c>
      <c r="H109" s="59">
        <v>1</v>
      </c>
      <c r="I109" s="59">
        <v>1</v>
      </c>
      <c r="J109" s="59">
        <v>1</v>
      </c>
      <c r="K109" s="59">
        <v>1</v>
      </c>
      <c r="L109" s="60">
        <v>1</v>
      </c>
      <c r="M109" s="61">
        <v>2</v>
      </c>
      <c r="N109" s="61">
        <v>2</v>
      </c>
      <c r="O109" s="61">
        <v>1</v>
      </c>
      <c r="P109" s="61">
        <v>2</v>
      </c>
      <c r="Q109" s="61">
        <v>1</v>
      </c>
      <c r="R109" s="61">
        <v>1</v>
      </c>
      <c r="S109" s="61">
        <v>1</v>
      </c>
      <c r="T109" s="37">
        <f t="shared" si="38"/>
        <v>18</v>
      </c>
      <c r="U109" s="57" t="str" cm="1">
        <f t="array" ref="U109">_xlfn.IFS( AND(T109&gt;=15,T109&lt;=25),"1", AND(T109&gt;=26,T109&lt;=35),"2", AND(T109&gt;=36,T109&lt;=45),"3")</f>
        <v>1</v>
      </c>
      <c r="V109" s="58">
        <v>3</v>
      </c>
      <c r="W109" s="58">
        <f t="shared" si="36"/>
        <v>3</v>
      </c>
      <c r="X109" s="50"/>
    </row>
    <row r="110" spans="1:24" ht="15.9" customHeight="1" x14ac:dyDescent="0.6">
      <c r="A110" s="53">
        <v>106</v>
      </c>
      <c r="B110" s="51" t="s">
        <v>197</v>
      </c>
      <c r="C110" s="63" t="s">
        <v>200</v>
      </c>
      <c r="D110" s="52" t="s">
        <v>198</v>
      </c>
      <c r="E110" s="59">
        <v>1</v>
      </c>
      <c r="F110" s="59">
        <v>1</v>
      </c>
      <c r="G110" s="59">
        <v>1</v>
      </c>
      <c r="H110" s="59">
        <v>1</v>
      </c>
      <c r="I110" s="59">
        <v>1</v>
      </c>
      <c r="J110" s="59">
        <v>1</v>
      </c>
      <c r="K110" s="59">
        <v>1</v>
      </c>
      <c r="L110" s="60">
        <v>1</v>
      </c>
      <c r="M110" s="61">
        <v>2</v>
      </c>
      <c r="N110" s="61">
        <v>2</v>
      </c>
      <c r="O110" s="61">
        <v>1</v>
      </c>
      <c r="P110" s="61">
        <v>2</v>
      </c>
      <c r="Q110" s="61">
        <v>1</v>
      </c>
      <c r="R110" s="61">
        <v>1</v>
      </c>
      <c r="S110" s="61">
        <v>1</v>
      </c>
      <c r="T110" s="37">
        <f>SUM(E110:S110)</f>
        <v>18</v>
      </c>
      <c r="U110" s="57" t="str" cm="1">
        <f t="array" ref="U110">_xlfn.IFS( AND(T110&gt;=15,T110&lt;=25),"1", AND(T110&gt;=26,T110&lt;=35),"2", AND(T110&gt;=36,T110&lt;=45),"3")</f>
        <v>1</v>
      </c>
      <c r="V110" s="58">
        <v>3</v>
      </c>
      <c r="W110" s="58">
        <f t="shared" si="36"/>
        <v>3</v>
      </c>
      <c r="X110" s="4"/>
    </row>
    <row r="111" spans="1:24" ht="15.9" customHeight="1" x14ac:dyDescent="0.6">
      <c r="A111" s="53">
        <v>107</v>
      </c>
      <c r="B111" s="51" t="s">
        <v>197</v>
      </c>
      <c r="C111" s="63" t="s">
        <v>201</v>
      </c>
      <c r="D111" s="52" t="s">
        <v>198</v>
      </c>
      <c r="E111" s="59">
        <v>1</v>
      </c>
      <c r="F111" s="59">
        <v>1</v>
      </c>
      <c r="G111" s="59">
        <v>1</v>
      </c>
      <c r="H111" s="59">
        <v>1</v>
      </c>
      <c r="I111" s="59">
        <v>1</v>
      </c>
      <c r="J111" s="59">
        <v>1</v>
      </c>
      <c r="K111" s="59">
        <v>1</v>
      </c>
      <c r="L111" s="60">
        <v>1</v>
      </c>
      <c r="M111" s="61">
        <v>2</v>
      </c>
      <c r="N111" s="61">
        <v>2</v>
      </c>
      <c r="O111" s="61">
        <v>1</v>
      </c>
      <c r="P111" s="61">
        <v>2</v>
      </c>
      <c r="Q111" s="61">
        <v>1</v>
      </c>
      <c r="R111" s="61">
        <v>1</v>
      </c>
      <c r="S111" s="61">
        <v>1</v>
      </c>
      <c r="T111" s="37">
        <f t="shared" ref="T111:T112" si="39">SUM(E111:S111)</f>
        <v>18</v>
      </c>
      <c r="U111" s="57" t="str" cm="1">
        <f t="array" ref="U111">_xlfn.IFS( AND(T111&gt;=15,T111&lt;=25),"1", AND(T111&gt;=26,T111&lt;=35),"2", AND(T111&gt;=36,T111&lt;=45),"3")</f>
        <v>1</v>
      </c>
      <c r="V111" s="58">
        <v>3</v>
      </c>
      <c r="W111" s="58">
        <f t="shared" si="36"/>
        <v>3</v>
      </c>
      <c r="X111" s="50"/>
    </row>
    <row r="112" spans="1:24" ht="15.9" customHeight="1" x14ac:dyDescent="0.6">
      <c r="A112" s="53">
        <v>108</v>
      </c>
      <c r="B112" s="51" t="s">
        <v>197</v>
      </c>
      <c r="C112" s="63" t="s">
        <v>208</v>
      </c>
      <c r="D112" s="52" t="s">
        <v>198</v>
      </c>
      <c r="E112" s="59">
        <v>1</v>
      </c>
      <c r="F112" s="59">
        <v>1</v>
      </c>
      <c r="G112" s="59">
        <v>1</v>
      </c>
      <c r="H112" s="59">
        <v>1</v>
      </c>
      <c r="I112" s="59">
        <v>1</v>
      </c>
      <c r="J112" s="59">
        <v>1</v>
      </c>
      <c r="K112" s="59">
        <v>1</v>
      </c>
      <c r="L112" s="60">
        <v>1</v>
      </c>
      <c r="M112" s="61">
        <v>2</v>
      </c>
      <c r="N112" s="61">
        <v>2</v>
      </c>
      <c r="O112" s="61">
        <v>1</v>
      </c>
      <c r="P112" s="61">
        <v>2</v>
      </c>
      <c r="Q112" s="61">
        <v>1</v>
      </c>
      <c r="R112" s="61">
        <v>1</v>
      </c>
      <c r="S112" s="61">
        <v>1</v>
      </c>
      <c r="T112" s="37">
        <f t="shared" si="39"/>
        <v>18</v>
      </c>
      <c r="U112" s="57" t="str" cm="1">
        <f t="array" ref="U112">_xlfn.IFS( AND(T112&gt;=15,T112&lt;=25),"1", AND(T112&gt;=26,T112&lt;=35),"2", AND(T112&gt;=36,T112&lt;=45),"3")</f>
        <v>1</v>
      </c>
      <c r="V112" s="58">
        <v>3</v>
      </c>
      <c r="W112" s="58">
        <f t="shared" si="36"/>
        <v>3</v>
      </c>
      <c r="X112" s="50"/>
    </row>
    <row r="113" spans="1:24" ht="15.9" customHeight="1" x14ac:dyDescent="0.6">
      <c r="A113" s="51">
        <v>109</v>
      </c>
      <c r="B113" s="51" t="s">
        <v>197</v>
      </c>
      <c r="C113" s="63" t="s">
        <v>209</v>
      </c>
      <c r="D113" s="52" t="s">
        <v>198</v>
      </c>
      <c r="E113" s="59">
        <v>1</v>
      </c>
      <c r="F113" s="59">
        <v>1</v>
      </c>
      <c r="G113" s="59">
        <v>1</v>
      </c>
      <c r="H113" s="59">
        <v>1</v>
      </c>
      <c r="I113" s="59">
        <v>1</v>
      </c>
      <c r="J113" s="59">
        <v>1</v>
      </c>
      <c r="K113" s="59">
        <v>1</v>
      </c>
      <c r="L113" s="60">
        <v>1</v>
      </c>
      <c r="M113" s="61">
        <v>2</v>
      </c>
      <c r="N113" s="61">
        <v>2</v>
      </c>
      <c r="O113" s="61">
        <v>1</v>
      </c>
      <c r="P113" s="61">
        <v>2</v>
      </c>
      <c r="Q113" s="61">
        <v>1</v>
      </c>
      <c r="R113" s="61">
        <v>1</v>
      </c>
      <c r="S113" s="61">
        <v>1</v>
      </c>
      <c r="T113" s="37">
        <f>SUM(E113:S113)</f>
        <v>18</v>
      </c>
      <c r="U113" s="57" t="str" cm="1">
        <f t="array" ref="U113">_xlfn.IFS( AND(T113&gt;=15,T113&lt;=25),"1", AND(T113&gt;=26,T113&lt;=35),"2", AND(T113&gt;=36,T113&lt;=45),"3")</f>
        <v>1</v>
      </c>
      <c r="V113" s="58">
        <v>3</v>
      </c>
      <c r="W113" s="58">
        <f t="shared" si="36"/>
        <v>3</v>
      </c>
      <c r="X113" s="4"/>
    </row>
    <row r="114" spans="1:24" ht="15.9" customHeight="1" x14ac:dyDescent="0.6">
      <c r="A114" s="51">
        <v>110</v>
      </c>
      <c r="B114" s="51" t="s">
        <v>197</v>
      </c>
      <c r="C114" s="63" t="s">
        <v>210</v>
      </c>
      <c r="D114" s="52" t="s">
        <v>198</v>
      </c>
      <c r="E114" s="59">
        <v>1</v>
      </c>
      <c r="F114" s="59">
        <v>1</v>
      </c>
      <c r="G114" s="59">
        <v>1</v>
      </c>
      <c r="H114" s="59">
        <v>1</v>
      </c>
      <c r="I114" s="59">
        <v>1</v>
      </c>
      <c r="J114" s="59">
        <v>1</v>
      </c>
      <c r="K114" s="59">
        <v>1</v>
      </c>
      <c r="L114" s="60">
        <v>1</v>
      </c>
      <c r="M114" s="61">
        <v>2</v>
      </c>
      <c r="N114" s="61">
        <v>2</v>
      </c>
      <c r="O114" s="61">
        <v>1</v>
      </c>
      <c r="P114" s="61">
        <v>2</v>
      </c>
      <c r="Q114" s="61">
        <v>1</v>
      </c>
      <c r="R114" s="61">
        <v>1</v>
      </c>
      <c r="S114" s="61">
        <v>1</v>
      </c>
      <c r="T114" s="37">
        <f t="shared" ref="T114:T115" si="40">SUM(E114:S114)</f>
        <v>18</v>
      </c>
      <c r="U114" s="57" t="str" cm="1">
        <f t="array" ref="U114">_xlfn.IFS( AND(T114&gt;=15,T114&lt;=25),"1", AND(T114&gt;=26,T114&lt;=35),"2", AND(T114&gt;=36,T114&lt;=45),"3")</f>
        <v>1</v>
      </c>
      <c r="V114" s="58">
        <v>3</v>
      </c>
      <c r="W114" s="58">
        <f t="shared" si="36"/>
        <v>3</v>
      </c>
      <c r="X114" s="50"/>
    </row>
    <row r="115" spans="1:24" ht="15.9" customHeight="1" x14ac:dyDescent="0.6">
      <c r="A115" s="53">
        <v>111</v>
      </c>
      <c r="B115" s="51" t="s">
        <v>197</v>
      </c>
      <c r="C115" s="63" t="s">
        <v>211</v>
      </c>
      <c r="D115" s="52" t="s">
        <v>198</v>
      </c>
      <c r="E115" s="59">
        <v>1</v>
      </c>
      <c r="F115" s="59">
        <v>1</v>
      </c>
      <c r="G115" s="59">
        <v>1</v>
      </c>
      <c r="H115" s="59">
        <v>1</v>
      </c>
      <c r="I115" s="59">
        <v>1</v>
      </c>
      <c r="J115" s="59">
        <v>1</v>
      </c>
      <c r="K115" s="59">
        <v>1</v>
      </c>
      <c r="L115" s="60">
        <v>1</v>
      </c>
      <c r="M115" s="61">
        <v>2</v>
      </c>
      <c r="N115" s="61">
        <v>2</v>
      </c>
      <c r="O115" s="61">
        <v>1</v>
      </c>
      <c r="P115" s="61">
        <v>2</v>
      </c>
      <c r="Q115" s="61">
        <v>1</v>
      </c>
      <c r="R115" s="61">
        <v>1</v>
      </c>
      <c r="S115" s="61">
        <v>1</v>
      </c>
      <c r="T115" s="37">
        <f t="shared" si="40"/>
        <v>18</v>
      </c>
      <c r="U115" s="57" t="str" cm="1">
        <f t="array" ref="U115">_xlfn.IFS( AND(T115&gt;=15,T115&lt;=25),"1", AND(T115&gt;=26,T115&lt;=35),"2", AND(T115&gt;=36,T115&lt;=45),"3")</f>
        <v>1</v>
      </c>
      <c r="V115" s="58">
        <v>3</v>
      </c>
      <c r="W115" s="58">
        <f t="shared" si="36"/>
        <v>3</v>
      </c>
      <c r="X115" s="50"/>
    </row>
    <row r="116" spans="1:24" ht="15.9" customHeight="1" x14ac:dyDescent="0.6">
      <c r="A116" s="53">
        <v>112</v>
      </c>
      <c r="B116" s="51" t="s">
        <v>197</v>
      </c>
      <c r="C116" s="63" t="s">
        <v>212</v>
      </c>
      <c r="D116" s="52" t="s">
        <v>198</v>
      </c>
      <c r="E116" s="59">
        <v>1</v>
      </c>
      <c r="F116" s="59">
        <v>1</v>
      </c>
      <c r="G116" s="59">
        <v>1</v>
      </c>
      <c r="H116" s="59">
        <v>1</v>
      </c>
      <c r="I116" s="59">
        <v>1</v>
      </c>
      <c r="J116" s="59">
        <v>1</v>
      </c>
      <c r="K116" s="59">
        <v>1</v>
      </c>
      <c r="L116" s="60">
        <v>1</v>
      </c>
      <c r="M116" s="61">
        <v>2</v>
      </c>
      <c r="N116" s="61">
        <v>2</v>
      </c>
      <c r="O116" s="61">
        <v>1</v>
      </c>
      <c r="P116" s="61">
        <v>2</v>
      </c>
      <c r="Q116" s="61">
        <v>1</v>
      </c>
      <c r="R116" s="61">
        <v>1</v>
      </c>
      <c r="S116" s="61">
        <v>1</v>
      </c>
      <c r="T116" s="37">
        <f>SUM(E116:S116)</f>
        <v>18</v>
      </c>
      <c r="U116" s="57" t="str" cm="1">
        <f t="array" ref="U116">_xlfn.IFS( AND(T116&gt;=15,T116&lt;=25),"1", AND(T116&gt;=26,T116&lt;=35),"2", AND(T116&gt;=36,T116&lt;=45),"3")</f>
        <v>1</v>
      </c>
      <c r="V116" s="58">
        <v>3</v>
      </c>
      <c r="W116" s="58">
        <f t="shared" ref="W116:W122" si="41">V116*U116</f>
        <v>3</v>
      </c>
      <c r="X116" s="4"/>
    </row>
    <row r="117" spans="1:24" ht="15.9" customHeight="1" x14ac:dyDescent="0.6">
      <c r="A117" s="53">
        <v>113</v>
      </c>
      <c r="B117" s="51" t="s">
        <v>197</v>
      </c>
      <c r="C117" s="63" t="s">
        <v>213</v>
      </c>
      <c r="D117" s="52" t="s">
        <v>198</v>
      </c>
      <c r="E117" s="59">
        <v>1</v>
      </c>
      <c r="F117" s="59">
        <v>1</v>
      </c>
      <c r="G117" s="59">
        <v>1</v>
      </c>
      <c r="H117" s="59">
        <v>1</v>
      </c>
      <c r="I117" s="59">
        <v>1</v>
      </c>
      <c r="J117" s="59">
        <v>1</v>
      </c>
      <c r="K117" s="59">
        <v>1</v>
      </c>
      <c r="L117" s="60">
        <v>1</v>
      </c>
      <c r="M117" s="61">
        <v>2</v>
      </c>
      <c r="N117" s="61">
        <v>2</v>
      </c>
      <c r="O117" s="61">
        <v>1</v>
      </c>
      <c r="P117" s="61">
        <v>2</v>
      </c>
      <c r="Q117" s="61">
        <v>1</v>
      </c>
      <c r="R117" s="61">
        <v>1</v>
      </c>
      <c r="S117" s="61">
        <v>1</v>
      </c>
      <c r="T117" s="37">
        <f t="shared" ref="T117:T118" si="42">SUM(E117:S117)</f>
        <v>18</v>
      </c>
      <c r="U117" s="57" t="str" cm="1">
        <f t="array" ref="U117">_xlfn.IFS( AND(T117&gt;=15,T117&lt;=25),"1", AND(T117&gt;=26,T117&lt;=35),"2", AND(T117&gt;=36,T117&lt;=45),"3")</f>
        <v>1</v>
      </c>
      <c r="V117" s="58">
        <v>3</v>
      </c>
      <c r="W117" s="58">
        <f t="shared" si="41"/>
        <v>3</v>
      </c>
      <c r="X117" s="50"/>
    </row>
    <row r="118" spans="1:24" ht="15.9" customHeight="1" x14ac:dyDescent="0.6">
      <c r="A118" s="51">
        <v>114</v>
      </c>
      <c r="B118" s="51" t="s">
        <v>197</v>
      </c>
      <c r="C118" s="63" t="s">
        <v>214</v>
      </c>
      <c r="D118" s="52" t="s">
        <v>198</v>
      </c>
      <c r="E118" s="59">
        <v>1</v>
      </c>
      <c r="F118" s="59">
        <v>1</v>
      </c>
      <c r="G118" s="59">
        <v>1</v>
      </c>
      <c r="H118" s="59">
        <v>1</v>
      </c>
      <c r="I118" s="59">
        <v>1</v>
      </c>
      <c r="J118" s="59">
        <v>1</v>
      </c>
      <c r="K118" s="59">
        <v>1</v>
      </c>
      <c r="L118" s="60">
        <v>1</v>
      </c>
      <c r="M118" s="61">
        <v>2</v>
      </c>
      <c r="N118" s="61">
        <v>2</v>
      </c>
      <c r="O118" s="61">
        <v>1</v>
      </c>
      <c r="P118" s="61">
        <v>2</v>
      </c>
      <c r="Q118" s="61">
        <v>1</v>
      </c>
      <c r="R118" s="61">
        <v>1</v>
      </c>
      <c r="S118" s="61">
        <v>1</v>
      </c>
      <c r="T118" s="37">
        <f t="shared" si="42"/>
        <v>18</v>
      </c>
      <c r="U118" s="57" t="str" cm="1">
        <f t="array" ref="U118">_xlfn.IFS( AND(T118&gt;=15,T118&lt;=25),"1", AND(T118&gt;=26,T118&lt;=35),"2", AND(T118&gt;=36,T118&lt;=45),"3")</f>
        <v>1</v>
      </c>
      <c r="V118" s="58">
        <v>3</v>
      </c>
      <c r="W118" s="58">
        <f t="shared" si="41"/>
        <v>3</v>
      </c>
      <c r="X118" s="50"/>
    </row>
    <row r="119" spans="1:24" ht="15.9" customHeight="1" x14ac:dyDescent="0.6">
      <c r="A119" s="51">
        <v>115</v>
      </c>
      <c r="B119" s="51" t="s">
        <v>197</v>
      </c>
      <c r="C119" s="63" t="s">
        <v>215</v>
      </c>
      <c r="D119" s="52" t="s">
        <v>198</v>
      </c>
      <c r="E119" s="59">
        <v>1</v>
      </c>
      <c r="F119" s="59">
        <v>1</v>
      </c>
      <c r="G119" s="59">
        <v>1</v>
      </c>
      <c r="H119" s="59">
        <v>1</v>
      </c>
      <c r="I119" s="59">
        <v>1</v>
      </c>
      <c r="J119" s="59">
        <v>1</v>
      </c>
      <c r="K119" s="59">
        <v>1</v>
      </c>
      <c r="L119" s="60">
        <v>1</v>
      </c>
      <c r="M119" s="61">
        <v>2</v>
      </c>
      <c r="N119" s="61">
        <v>2</v>
      </c>
      <c r="O119" s="61">
        <v>1</v>
      </c>
      <c r="P119" s="61">
        <v>2</v>
      </c>
      <c r="Q119" s="61">
        <v>1</v>
      </c>
      <c r="R119" s="61">
        <v>1</v>
      </c>
      <c r="S119" s="61">
        <v>1</v>
      </c>
      <c r="T119" s="37">
        <f>SUM(E119:S119)</f>
        <v>18</v>
      </c>
      <c r="U119" s="57" t="str" cm="1">
        <f t="array" ref="U119">_xlfn.IFS( AND(T119&gt;=15,T119&lt;=25),"1", AND(T119&gt;=26,T119&lt;=35),"2", AND(T119&gt;=36,T119&lt;=45),"3")</f>
        <v>1</v>
      </c>
      <c r="V119" s="58">
        <v>3</v>
      </c>
      <c r="W119" s="58">
        <f t="shared" si="41"/>
        <v>3</v>
      </c>
      <c r="X119" s="4"/>
    </row>
    <row r="120" spans="1:24" ht="15.9" customHeight="1" x14ac:dyDescent="0.6">
      <c r="A120" s="53">
        <v>116</v>
      </c>
      <c r="B120" s="51" t="s">
        <v>197</v>
      </c>
      <c r="C120" s="63" t="s">
        <v>216</v>
      </c>
      <c r="D120" s="52" t="s">
        <v>198</v>
      </c>
      <c r="E120" s="59">
        <v>1</v>
      </c>
      <c r="F120" s="59">
        <v>1</v>
      </c>
      <c r="G120" s="59">
        <v>1</v>
      </c>
      <c r="H120" s="59">
        <v>1</v>
      </c>
      <c r="I120" s="59">
        <v>1</v>
      </c>
      <c r="J120" s="59">
        <v>1</v>
      </c>
      <c r="K120" s="59">
        <v>1</v>
      </c>
      <c r="L120" s="60">
        <v>1</v>
      </c>
      <c r="M120" s="61">
        <v>2</v>
      </c>
      <c r="N120" s="61">
        <v>2</v>
      </c>
      <c r="O120" s="61">
        <v>1</v>
      </c>
      <c r="P120" s="61">
        <v>2</v>
      </c>
      <c r="Q120" s="61">
        <v>1</v>
      </c>
      <c r="R120" s="61">
        <v>1</v>
      </c>
      <c r="S120" s="61">
        <v>1</v>
      </c>
      <c r="T120" s="37">
        <f t="shared" ref="T120:T121" si="43">SUM(E120:S120)</f>
        <v>18</v>
      </c>
      <c r="U120" s="57" t="str" cm="1">
        <f t="array" ref="U120">_xlfn.IFS( AND(T120&gt;=15,T120&lt;=25),"1", AND(T120&gt;=26,T120&lt;=35),"2", AND(T120&gt;=36,T120&lt;=45),"3")</f>
        <v>1</v>
      </c>
      <c r="V120" s="58">
        <v>3</v>
      </c>
      <c r="W120" s="58">
        <f t="shared" si="41"/>
        <v>3</v>
      </c>
      <c r="X120" s="50"/>
    </row>
    <row r="121" spans="1:24" ht="15.9" customHeight="1" x14ac:dyDescent="0.6">
      <c r="A121" s="53">
        <v>117</v>
      </c>
      <c r="B121" s="51" t="s">
        <v>197</v>
      </c>
      <c r="C121" s="63" t="s">
        <v>217</v>
      </c>
      <c r="D121" s="52" t="s">
        <v>198</v>
      </c>
      <c r="E121" s="59">
        <v>1</v>
      </c>
      <c r="F121" s="59">
        <v>1</v>
      </c>
      <c r="G121" s="59">
        <v>1</v>
      </c>
      <c r="H121" s="59">
        <v>1</v>
      </c>
      <c r="I121" s="59">
        <v>1</v>
      </c>
      <c r="J121" s="59">
        <v>1</v>
      </c>
      <c r="K121" s="59">
        <v>1</v>
      </c>
      <c r="L121" s="60">
        <v>1</v>
      </c>
      <c r="M121" s="61">
        <v>2</v>
      </c>
      <c r="N121" s="61">
        <v>2</v>
      </c>
      <c r="O121" s="61">
        <v>1</v>
      </c>
      <c r="P121" s="61">
        <v>2</v>
      </c>
      <c r="Q121" s="61">
        <v>1</v>
      </c>
      <c r="R121" s="61">
        <v>1</v>
      </c>
      <c r="S121" s="61">
        <v>1</v>
      </c>
      <c r="T121" s="37">
        <f t="shared" si="43"/>
        <v>18</v>
      </c>
      <c r="U121" s="57" t="str" cm="1">
        <f t="array" ref="U121">_xlfn.IFS( AND(T121&gt;=15,T121&lt;=25),"1", AND(T121&gt;=26,T121&lt;=35),"2", AND(T121&gt;=36,T121&lt;=45),"3")</f>
        <v>1</v>
      </c>
      <c r="V121" s="58">
        <v>3</v>
      </c>
      <c r="W121" s="58">
        <f t="shared" si="41"/>
        <v>3</v>
      </c>
      <c r="X121" s="50"/>
    </row>
    <row r="122" spans="1:24" ht="15.9" customHeight="1" x14ac:dyDescent="0.6">
      <c r="A122" s="53">
        <v>118</v>
      </c>
      <c r="B122" s="51" t="s">
        <v>197</v>
      </c>
      <c r="C122" s="63" t="s">
        <v>218</v>
      </c>
      <c r="D122" s="52" t="s">
        <v>198</v>
      </c>
      <c r="E122" s="59">
        <v>1</v>
      </c>
      <c r="F122" s="59">
        <v>1</v>
      </c>
      <c r="G122" s="59">
        <v>1</v>
      </c>
      <c r="H122" s="59">
        <v>1</v>
      </c>
      <c r="I122" s="59">
        <v>1</v>
      </c>
      <c r="J122" s="59">
        <v>1</v>
      </c>
      <c r="K122" s="59">
        <v>1</v>
      </c>
      <c r="L122" s="60">
        <v>1</v>
      </c>
      <c r="M122" s="61">
        <v>2</v>
      </c>
      <c r="N122" s="61">
        <v>2</v>
      </c>
      <c r="O122" s="61">
        <v>1</v>
      </c>
      <c r="P122" s="61">
        <v>2</v>
      </c>
      <c r="Q122" s="61">
        <v>1</v>
      </c>
      <c r="R122" s="61">
        <v>1</v>
      </c>
      <c r="S122" s="61">
        <v>1</v>
      </c>
      <c r="T122" s="37">
        <f>SUM(E122:S122)</f>
        <v>18</v>
      </c>
      <c r="U122" s="57" t="str" cm="1">
        <f t="array" ref="U122">_xlfn.IFS( AND(T122&gt;=15,T122&lt;=25),"1", AND(T122&gt;=26,T122&lt;=35),"2", AND(T122&gt;=36,T122&lt;=45),"3")</f>
        <v>1</v>
      </c>
      <c r="V122" s="58">
        <v>3</v>
      </c>
      <c r="W122" s="58">
        <f t="shared" si="41"/>
        <v>3</v>
      </c>
      <c r="X122" s="4"/>
    </row>
  </sheetData>
  <mergeCells count="13">
    <mergeCell ref="A1:X1"/>
    <mergeCell ref="W2:W4"/>
    <mergeCell ref="X2:X4"/>
    <mergeCell ref="E2:U2"/>
    <mergeCell ref="T3:T4"/>
    <mergeCell ref="U3:U4"/>
    <mergeCell ref="V2:V4"/>
    <mergeCell ref="E3:K3"/>
    <mergeCell ref="M3:S3"/>
    <mergeCell ref="D2:D4"/>
    <mergeCell ref="C2:C4"/>
    <mergeCell ref="A2:A4"/>
    <mergeCell ref="B2:B4"/>
  </mergeCells>
  <phoneticPr fontId="10" type="noConversion"/>
  <conditionalFormatting sqref="W5:W122">
    <cfRule type="cellIs" dxfId="2" priority="1" operator="between">
      <formula>7</formula>
      <formula>9</formula>
    </cfRule>
    <cfRule type="cellIs" dxfId="1" priority="2" operator="between">
      <formula>4</formula>
      <formula>6</formula>
    </cfRule>
    <cfRule type="cellIs" dxfId="0" priority="3" operator="between">
      <formula>1</formula>
      <formula>3</formula>
    </cfRule>
  </conditionalFormatting>
  <pageMargins left="0.5" right="0.25" top="0.75" bottom="0.75" header="0.3" footer="0.3"/>
  <pageSetup paperSize="9" scale="50" orientation="landscape" r:id="rId1"/>
  <headerFooter>
    <oddFooter xml:space="preserve">&amp;R&amp;"TH Sarabun New,Regular"&amp;16F-EN-57 REV.00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view="pageLayout" zoomScale="85" zoomScaleNormal="85" zoomScaleSheetLayoutView="85" zoomScalePageLayoutView="85" workbookViewId="0">
      <selection activeCell="D4" sqref="D4"/>
    </sheetView>
  </sheetViews>
  <sheetFormatPr defaultColWidth="8.6640625" defaultRowHeight="16.8" x14ac:dyDescent="0.5"/>
  <cols>
    <col min="1" max="1" width="4.88671875" style="1" customWidth="1"/>
    <col min="2" max="2" width="4.88671875" style="2" customWidth="1"/>
    <col min="3" max="3" width="29.33203125" style="1" customWidth="1"/>
    <col min="4" max="4" width="15.6640625" style="1" customWidth="1"/>
    <col min="5" max="5" width="16.5546875" style="1" bestFit="1" customWidth="1"/>
    <col min="6" max="6" width="15.6640625" style="1" customWidth="1"/>
    <col min="7" max="7" width="2.6640625" style="1" customWidth="1"/>
    <col min="8" max="16384" width="8.6640625" style="1"/>
  </cols>
  <sheetData>
    <row r="1" spans="1:7" ht="30" customHeight="1" x14ac:dyDescent="0.7">
      <c r="A1" s="90" t="s">
        <v>0</v>
      </c>
      <c r="B1" s="90"/>
      <c r="C1" s="90"/>
      <c r="D1" s="90"/>
      <c r="E1" s="90"/>
      <c r="F1" s="90"/>
      <c r="G1" s="3"/>
    </row>
    <row r="2" spans="1:7" ht="19.5" customHeight="1" x14ac:dyDescent="0.6">
      <c r="A2" s="6">
        <v>1</v>
      </c>
      <c r="B2" s="86" t="s">
        <v>14</v>
      </c>
      <c r="C2" s="87"/>
      <c r="D2" s="82" t="s">
        <v>52</v>
      </c>
      <c r="E2" s="83"/>
      <c r="F2" s="84"/>
    </row>
    <row r="3" spans="1:7" ht="21" x14ac:dyDescent="0.6">
      <c r="A3" s="8"/>
      <c r="B3" s="88"/>
      <c r="C3" s="89"/>
      <c r="D3" s="9">
        <v>1</v>
      </c>
      <c r="E3" s="9">
        <v>2</v>
      </c>
      <c r="F3" s="10">
        <v>3</v>
      </c>
    </row>
    <row r="4" spans="1:7" ht="84" x14ac:dyDescent="0.5">
      <c r="A4" s="11">
        <v>1.1000000000000001</v>
      </c>
      <c r="B4" s="95" t="s">
        <v>7</v>
      </c>
      <c r="C4" s="96"/>
      <c r="D4" s="12" t="s">
        <v>11</v>
      </c>
      <c r="E4" s="12" t="s">
        <v>13</v>
      </c>
      <c r="F4" s="12" t="s">
        <v>12</v>
      </c>
    </row>
    <row r="5" spans="1:7" ht="142.5" customHeight="1" x14ac:dyDescent="0.5">
      <c r="A5" s="11">
        <v>1.2</v>
      </c>
      <c r="B5" s="81" t="s">
        <v>6</v>
      </c>
      <c r="C5" s="81"/>
      <c r="D5" s="13" t="s">
        <v>10</v>
      </c>
      <c r="E5" s="12" t="s">
        <v>15</v>
      </c>
      <c r="F5" s="14" t="s">
        <v>16</v>
      </c>
    </row>
    <row r="6" spans="1:7" ht="126" x14ac:dyDescent="0.5">
      <c r="A6" s="11">
        <v>1.3</v>
      </c>
      <c r="B6" s="81" t="s">
        <v>17</v>
      </c>
      <c r="C6" s="81"/>
      <c r="D6" s="14" t="s">
        <v>35</v>
      </c>
      <c r="E6" s="14" t="s">
        <v>37</v>
      </c>
      <c r="F6" s="14" t="s">
        <v>36</v>
      </c>
    </row>
    <row r="7" spans="1:7" ht="336" x14ac:dyDescent="0.5">
      <c r="A7" s="11">
        <v>1.4</v>
      </c>
      <c r="B7" s="81" t="s">
        <v>18</v>
      </c>
      <c r="C7" s="81"/>
      <c r="D7" s="14" t="s">
        <v>40</v>
      </c>
      <c r="E7" s="12" t="s">
        <v>38</v>
      </c>
      <c r="F7" s="14" t="s">
        <v>39</v>
      </c>
    </row>
    <row r="8" spans="1:7" ht="126" x14ac:dyDescent="0.6">
      <c r="A8" s="11">
        <v>1.5</v>
      </c>
      <c r="B8" s="81" t="s">
        <v>19</v>
      </c>
      <c r="C8" s="81"/>
      <c r="D8" s="15" t="s">
        <v>41</v>
      </c>
      <c r="E8" s="14" t="s">
        <v>51</v>
      </c>
      <c r="F8" s="15" t="s">
        <v>50</v>
      </c>
    </row>
    <row r="9" spans="1:7" ht="63" x14ac:dyDescent="0.6">
      <c r="A9" s="11">
        <v>1.6</v>
      </c>
      <c r="B9" s="99" t="s">
        <v>20</v>
      </c>
      <c r="C9" s="99"/>
      <c r="D9" s="12" t="s">
        <v>28</v>
      </c>
      <c r="E9" s="12" t="s">
        <v>49</v>
      </c>
      <c r="F9" s="12" t="s">
        <v>48</v>
      </c>
    </row>
    <row r="10" spans="1:7" ht="181.2" customHeight="1" x14ac:dyDescent="0.5">
      <c r="A10" s="11">
        <v>1.7</v>
      </c>
      <c r="B10" s="81" t="s">
        <v>21</v>
      </c>
      <c r="C10" s="81"/>
      <c r="D10" s="16" t="s">
        <v>23</v>
      </c>
      <c r="E10" s="16" t="s">
        <v>24</v>
      </c>
      <c r="F10" s="16" t="s">
        <v>22</v>
      </c>
    </row>
    <row r="11" spans="1:7" ht="15" customHeight="1" x14ac:dyDescent="0.5">
      <c r="A11" s="21"/>
      <c r="B11" s="17"/>
      <c r="C11" s="17"/>
    </row>
    <row r="12" spans="1:7" ht="21" x14ac:dyDescent="0.6">
      <c r="A12" s="91">
        <v>2</v>
      </c>
      <c r="B12" s="92"/>
      <c r="C12" s="97" t="s">
        <v>4</v>
      </c>
      <c r="D12" s="82" t="s">
        <v>52</v>
      </c>
      <c r="E12" s="83"/>
      <c r="F12" s="84"/>
    </row>
    <row r="13" spans="1:7" ht="21" x14ac:dyDescent="0.6">
      <c r="A13" s="93"/>
      <c r="B13" s="94"/>
      <c r="C13" s="98"/>
      <c r="D13" s="7">
        <v>1</v>
      </c>
      <c r="E13" s="9">
        <v>2</v>
      </c>
      <c r="F13" s="9">
        <v>3</v>
      </c>
    </row>
    <row r="14" spans="1:7" ht="313.95" customHeight="1" x14ac:dyDescent="0.5">
      <c r="A14" s="18">
        <v>2.1</v>
      </c>
      <c r="B14" s="95" t="s">
        <v>5</v>
      </c>
      <c r="C14" s="96"/>
      <c r="D14" s="14" t="s">
        <v>27</v>
      </c>
      <c r="E14" s="14" t="s">
        <v>25</v>
      </c>
      <c r="F14" s="14" t="s">
        <v>26</v>
      </c>
    </row>
    <row r="15" spans="1:7" ht="15" customHeight="1" x14ac:dyDescent="0.5">
      <c r="A15" s="22"/>
      <c r="B15" s="20"/>
      <c r="C15" s="20"/>
      <c r="D15" s="23"/>
      <c r="E15" s="23"/>
      <c r="F15" s="23"/>
    </row>
    <row r="16" spans="1:7" ht="21" x14ac:dyDescent="0.6">
      <c r="A16" s="91">
        <v>3</v>
      </c>
      <c r="B16" s="92"/>
      <c r="C16" s="97" t="s">
        <v>3</v>
      </c>
      <c r="D16" s="82" t="s">
        <v>52</v>
      </c>
      <c r="E16" s="83"/>
      <c r="F16" s="84"/>
    </row>
    <row r="17" spans="1:6" ht="21" x14ac:dyDescent="0.6">
      <c r="A17" s="93"/>
      <c r="B17" s="94"/>
      <c r="C17" s="98"/>
      <c r="D17" s="7">
        <v>1</v>
      </c>
      <c r="E17" s="9">
        <v>2</v>
      </c>
      <c r="F17" s="9">
        <v>3</v>
      </c>
    </row>
    <row r="18" spans="1:6" ht="105" x14ac:dyDescent="0.5">
      <c r="A18" s="11">
        <v>3.1</v>
      </c>
      <c r="B18" s="11" t="s">
        <v>1</v>
      </c>
      <c r="C18" s="14" t="s">
        <v>31</v>
      </c>
      <c r="D18" s="11" t="s">
        <v>45</v>
      </c>
      <c r="E18" s="11" t="s">
        <v>47</v>
      </c>
      <c r="F18" s="11" t="s">
        <v>46</v>
      </c>
    </row>
    <row r="19" spans="1:6" ht="42" x14ac:dyDescent="0.5">
      <c r="A19" s="11">
        <v>3.2</v>
      </c>
      <c r="B19" s="11" t="s">
        <v>1</v>
      </c>
      <c r="C19" s="14" t="s">
        <v>44</v>
      </c>
      <c r="D19" s="11" t="s">
        <v>45</v>
      </c>
      <c r="E19" s="11" t="s">
        <v>47</v>
      </c>
      <c r="F19" s="11" t="s">
        <v>46</v>
      </c>
    </row>
    <row r="20" spans="1:6" ht="84" x14ac:dyDescent="0.5">
      <c r="A20" s="11">
        <v>3.3</v>
      </c>
      <c r="B20" s="11" t="s">
        <v>2</v>
      </c>
      <c r="C20" s="14" t="s">
        <v>33</v>
      </c>
      <c r="D20" s="11" t="s">
        <v>45</v>
      </c>
      <c r="E20" s="11" t="s">
        <v>47</v>
      </c>
      <c r="F20" s="11" t="s">
        <v>46</v>
      </c>
    </row>
    <row r="21" spans="1:6" ht="84" x14ac:dyDescent="0.5">
      <c r="A21" s="11">
        <v>3.4</v>
      </c>
      <c r="B21" s="11" t="s">
        <v>2</v>
      </c>
      <c r="C21" s="14" t="s">
        <v>34</v>
      </c>
      <c r="D21" s="11" t="s">
        <v>45</v>
      </c>
      <c r="E21" s="11" t="s">
        <v>47</v>
      </c>
      <c r="F21" s="11" t="s">
        <v>46</v>
      </c>
    </row>
    <row r="22" spans="1:6" ht="42" x14ac:dyDescent="0.6">
      <c r="A22" s="11">
        <v>3.5</v>
      </c>
      <c r="B22" s="11" t="s">
        <v>2</v>
      </c>
      <c r="C22" s="15" t="s">
        <v>43</v>
      </c>
      <c r="D22" s="11" t="s">
        <v>45</v>
      </c>
      <c r="E22" s="11" t="s">
        <v>47</v>
      </c>
      <c r="F22" s="11" t="s">
        <v>46</v>
      </c>
    </row>
    <row r="23" spans="1:6" ht="105" x14ac:dyDescent="0.5">
      <c r="A23" s="11">
        <v>3.6</v>
      </c>
      <c r="B23" s="11" t="s">
        <v>9</v>
      </c>
      <c r="C23" s="14" t="s">
        <v>32</v>
      </c>
      <c r="D23" s="11" t="s">
        <v>45</v>
      </c>
      <c r="E23" s="11" t="s">
        <v>47</v>
      </c>
      <c r="F23" s="11" t="s">
        <v>46</v>
      </c>
    </row>
    <row r="24" spans="1:6" ht="21" x14ac:dyDescent="0.6">
      <c r="A24" s="11">
        <v>3.7</v>
      </c>
      <c r="B24" s="11" t="s">
        <v>9</v>
      </c>
      <c r="C24" s="19" t="s">
        <v>42</v>
      </c>
      <c r="D24" s="11" t="s">
        <v>45</v>
      </c>
      <c r="E24" s="11" t="s">
        <v>47</v>
      </c>
      <c r="F24" s="11" t="s">
        <v>46</v>
      </c>
    </row>
    <row r="28" spans="1:6" ht="40.200000000000003" customHeight="1" x14ac:dyDescent="0.5">
      <c r="A28" s="85"/>
    </row>
    <row r="29" spans="1:6" x14ac:dyDescent="0.5">
      <c r="A29" s="85"/>
    </row>
    <row r="30" spans="1:6" x14ac:dyDescent="0.5">
      <c r="A30" s="85"/>
    </row>
  </sheetData>
  <mergeCells count="18">
    <mergeCell ref="B8:C8"/>
    <mergeCell ref="B9:C9"/>
    <mergeCell ref="B10:C10"/>
    <mergeCell ref="D2:F2"/>
    <mergeCell ref="A28:A30"/>
    <mergeCell ref="B2:C3"/>
    <mergeCell ref="A1:F1"/>
    <mergeCell ref="A16:B17"/>
    <mergeCell ref="B4:C4"/>
    <mergeCell ref="D12:F12"/>
    <mergeCell ref="A12:B13"/>
    <mergeCell ref="C12:C13"/>
    <mergeCell ref="B14:C14"/>
    <mergeCell ref="D16:F16"/>
    <mergeCell ref="C16:C17"/>
    <mergeCell ref="B5:C5"/>
    <mergeCell ref="B6:C6"/>
    <mergeCell ref="B7:C7"/>
  </mergeCells>
  <pageMargins left="0.7" right="0.7" top="0.75" bottom="0.75" header="0.3" footer="0.3"/>
  <pageSetup paperSize="9" orientation="portrait" r:id="rId1"/>
  <headerFooter>
    <oddFooter>&amp;R&amp;"TH Sarabun New,Regular"&amp;16F-EN-57 REV.00</oddFooter>
  </headerFooter>
  <rowBreaks count="1" manualBreakCount="1">
    <brk id="1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tabSelected="1" workbookViewId="0">
      <selection activeCell="K10" sqref="K10"/>
    </sheetView>
  </sheetViews>
  <sheetFormatPr defaultColWidth="8.6640625" defaultRowHeight="21" x14ac:dyDescent="0.6"/>
  <cols>
    <col min="1" max="1" width="9.44140625" style="24" customWidth="1"/>
    <col min="2" max="2" width="9.44140625" style="27" customWidth="1"/>
    <col min="3" max="7" width="9.44140625" style="24" customWidth="1"/>
    <col min="8" max="16384" width="8.6640625" style="24"/>
  </cols>
  <sheetData>
    <row r="1" spans="1:9" ht="42" customHeight="1" x14ac:dyDescent="0.6"/>
    <row r="2" spans="1:9" x14ac:dyDescent="0.6">
      <c r="A2" s="47" t="s">
        <v>74</v>
      </c>
      <c r="B2" s="48"/>
      <c r="C2" s="49"/>
    </row>
    <row r="3" spans="1:9" ht="37.799999999999997" x14ac:dyDescent="0.6">
      <c r="A3" s="100" t="s">
        <v>79</v>
      </c>
      <c r="B3" s="100"/>
      <c r="C3" s="38" t="s">
        <v>78</v>
      </c>
    </row>
    <row r="4" spans="1:9" x14ac:dyDescent="0.6">
      <c r="A4" s="101" t="s">
        <v>75</v>
      </c>
      <c r="B4" s="101"/>
      <c r="C4" s="37">
        <v>1</v>
      </c>
      <c r="E4" s="40"/>
    </row>
    <row r="5" spans="1:9" x14ac:dyDescent="0.6">
      <c r="A5" s="101" t="s">
        <v>76</v>
      </c>
      <c r="B5" s="101"/>
      <c r="C5" s="37">
        <v>2</v>
      </c>
      <c r="E5" s="40"/>
    </row>
    <row r="6" spans="1:9" x14ac:dyDescent="0.6">
      <c r="A6" s="101" t="s">
        <v>77</v>
      </c>
      <c r="B6" s="101"/>
      <c r="C6" s="37">
        <v>3</v>
      </c>
      <c r="E6" s="40"/>
    </row>
    <row r="7" spans="1:9" x14ac:dyDescent="0.6">
      <c r="A7" s="39"/>
      <c r="B7" s="41"/>
      <c r="C7" s="42"/>
      <c r="E7" s="40"/>
    </row>
    <row r="8" spans="1:9" s="46" customFormat="1" ht="64.2" customHeight="1" x14ac:dyDescent="0.3">
      <c r="A8" s="102" t="s">
        <v>8</v>
      </c>
      <c r="B8" s="25">
        <v>1</v>
      </c>
      <c r="C8" s="107" t="s">
        <v>55</v>
      </c>
      <c r="D8" s="107"/>
      <c r="E8" s="107"/>
      <c r="F8" s="107"/>
      <c r="G8" s="107"/>
      <c r="H8" s="107"/>
      <c r="I8" s="107"/>
    </row>
    <row r="9" spans="1:9" s="46" customFormat="1" ht="64.2" customHeight="1" x14ac:dyDescent="0.3">
      <c r="A9" s="102"/>
      <c r="B9" s="25">
        <v>2</v>
      </c>
      <c r="C9" s="107" t="s">
        <v>54</v>
      </c>
      <c r="D9" s="107"/>
      <c r="E9" s="107"/>
      <c r="F9" s="107"/>
      <c r="G9" s="107"/>
      <c r="H9" s="107"/>
      <c r="I9" s="107"/>
    </row>
    <row r="10" spans="1:9" s="46" customFormat="1" ht="64.2" customHeight="1" x14ac:dyDescent="0.3">
      <c r="A10" s="102"/>
      <c r="B10" s="25">
        <v>3</v>
      </c>
      <c r="C10" s="107" t="s">
        <v>53</v>
      </c>
      <c r="D10" s="107"/>
      <c r="E10" s="107"/>
      <c r="F10" s="107"/>
      <c r="G10" s="107"/>
      <c r="H10" s="107"/>
      <c r="I10" s="107"/>
    </row>
    <row r="11" spans="1:9" x14ac:dyDescent="0.6">
      <c r="A11" s="43"/>
      <c r="B11" s="45"/>
      <c r="C11" s="44"/>
    </row>
    <row r="12" spans="1:9" x14ac:dyDescent="0.6">
      <c r="A12" s="105" t="s">
        <v>59</v>
      </c>
      <c r="B12" s="103"/>
      <c r="C12" s="103"/>
      <c r="D12" s="103"/>
      <c r="E12" s="104"/>
    </row>
    <row r="13" spans="1:9" ht="20.7" customHeight="1" x14ac:dyDescent="0.6">
      <c r="A13" s="108" t="s">
        <v>8</v>
      </c>
      <c r="B13" s="28">
        <v>3</v>
      </c>
      <c r="C13" s="29">
        <v>3</v>
      </c>
      <c r="D13" s="30">
        <v>6</v>
      </c>
      <c r="E13" s="31">
        <v>9</v>
      </c>
    </row>
    <row r="14" spans="1:9" ht="20.7" customHeight="1" x14ac:dyDescent="0.6">
      <c r="A14" s="109"/>
      <c r="B14" s="28">
        <v>2</v>
      </c>
      <c r="C14" s="29">
        <v>2</v>
      </c>
      <c r="D14" s="30">
        <v>4</v>
      </c>
      <c r="E14" s="30">
        <v>6</v>
      </c>
    </row>
    <row r="15" spans="1:9" ht="20.7" customHeight="1" x14ac:dyDescent="0.6">
      <c r="A15" s="109"/>
      <c r="B15" s="28">
        <v>1</v>
      </c>
      <c r="C15" s="29">
        <v>1</v>
      </c>
      <c r="D15" s="29">
        <v>2</v>
      </c>
      <c r="E15" s="29">
        <v>3</v>
      </c>
    </row>
    <row r="16" spans="1:9" ht="19.95" customHeight="1" x14ac:dyDescent="0.6">
      <c r="A16" s="109"/>
      <c r="B16" s="32"/>
      <c r="C16" s="33">
        <v>1</v>
      </c>
      <c r="D16" s="33">
        <v>2</v>
      </c>
      <c r="E16" s="33">
        <v>3</v>
      </c>
    </row>
    <row r="17" spans="1:7" x14ac:dyDescent="0.6">
      <c r="A17" s="34"/>
      <c r="B17" s="103" t="s">
        <v>30</v>
      </c>
      <c r="C17" s="103"/>
      <c r="D17" s="103"/>
      <c r="E17" s="104"/>
    </row>
    <row r="18" spans="1:7" x14ac:dyDescent="0.6">
      <c r="B18" s="35"/>
      <c r="C18" s="35"/>
      <c r="D18" s="35"/>
      <c r="E18" s="35"/>
    </row>
    <row r="19" spans="1:7" ht="42" x14ac:dyDescent="0.6">
      <c r="A19" s="100" t="s">
        <v>64</v>
      </c>
      <c r="B19" s="100"/>
      <c r="C19" s="36" t="s">
        <v>65</v>
      </c>
      <c r="D19" s="100" t="s">
        <v>63</v>
      </c>
      <c r="E19" s="100"/>
      <c r="F19" s="100"/>
      <c r="G19" s="100"/>
    </row>
    <row r="20" spans="1:7" ht="19.5" customHeight="1" x14ac:dyDescent="0.6">
      <c r="A20" s="101" t="s">
        <v>56</v>
      </c>
      <c r="B20" s="101"/>
      <c r="C20" s="29" t="s">
        <v>60</v>
      </c>
      <c r="D20" s="81" t="s">
        <v>66</v>
      </c>
      <c r="E20" s="81"/>
      <c r="F20" s="81"/>
      <c r="G20" s="81"/>
    </row>
    <row r="21" spans="1:7" ht="19.5" customHeight="1" x14ac:dyDescent="0.6">
      <c r="A21" s="101" t="s">
        <v>57</v>
      </c>
      <c r="B21" s="101"/>
      <c r="C21" s="30" t="s">
        <v>61</v>
      </c>
      <c r="D21" s="106" t="s">
        <v>68</v>
      </c>
      <c r="E21" s="106"/>
      <c r="F21" s="106"/>
      <c r="G21" s="106"/>
    </row>
    <row r="22" spans="1:7" ht="19.5" customHeight="1" x14ac:dyDescent="0.6">
      <c r="A22" s="101" t="s">
        <v>58</v>
      </c>
      <c r="B22" s="101"/>
      <c r="C22" s="31" t="s">
        <v>62</v>
      </c>
      <c r="D22" s="106" t="s">
        <v>67</v>
      </c>
      <c r="E22" s="106"/>
      <c r="F22" s="106"/>
      <c r="G22" s="106"/>
    </row>
  </sheetData>
  <mergeCells count="19">
    <mergeCell ref="C10:I10"/>
    <mergeCell ref="A21:B21"/>
    <mergeCell ref="A13:A16"/>
    <mergeCell ref="A3:B3"/>
    <mergeCell ref="A4:B4"/>
    <mergeCell ref="A5:B5"/>
    <mergeCell ref="A6:B6"/>
    <mergeCell ref="A22:B22"/>
    <mergeCell ref="A19:B19"/>
    <mergeCell ref="A8:A10"/>
    <mergeCell ref="B17:E17"/>
    <mergeCell ref="A12:E12"/>
    <mergeCell ref="D20:G20"/>
    <mergeCell ref="D22:G22"/>
    <mergeCell ref="D21:G21"/>
    <mergeCell ref="D19:G19"/>
    <mergeCell ref="A20:B20"/>
    <mergeCell ref="C8:I8"/>
    <mergeCell ref="C9:I9"/>
  </mergeCells>
  <pageMargins left="0.7" right="0.7" top="0.75" bottom="0.75" header="0.3" footer="0.3"/>
  <pageSetup paperSize="9" orientation="portrait" r:id="rId1"/>
  <headerFooter>
    <oddFooter>&amp;R&amp;"TH Sarabun New,Regular"&amp;16F-EN-57 REV.00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1</vt:lpstr>
      <vt:lpstr>FORM 2</vt:lpstr>
      <vt:lpstr>FORM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Chayanee Cheerakupt</dc:creator>
  <cp:lastModifiedBy>toppan.it21042025@outlook.com</cp:lastModifiedBy>
  <cp:lastPrinted>2025-05-02T02:20:59Z</cp:lastPrinted>
  <dcterms:created xsi:type="dcterms:W3CDTF">2023-12-08T06:36:10Z</dcterms:created>
  <dcterms:modified xsi:type="dcterms:W3CDTF">2025-05-02T02:21:53Z</dcterms:modified>
</cp:coreProperties>
</file>